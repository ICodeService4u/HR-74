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Helvetica"/>
      <b val="1"/>
      <color rgb="001F2A5C"/>
      <sz val="26"/>
    </font>
    <font>
      <name val="Helvetica"/>
      <b val="1"/>
      <color rgb="00C9A227"/>
      <sz val="10"/>
    </font>
    <font>
      <name val="Helvetica"/>
      <color rgb="000E1320"/>
      <sz val="12"/>
    </font>
    <font>
      <name val="Helvetica"/>
      <i val="1"/>
      <color rgb="006B7280"/>
      <sz val="10"/>
    </font>
    <font>
      <name val="Helvetica"/>
      <b val="1"/>
      <color rgb="00FFFFFF"/>
      <sz val="11"/>
    </font>
    <font>
      <name val="Helvetica"/>
      <b val="1"/>
      <color rgb="001F2A5C"/>
      <sz val="10"/>
    </font>
    <font>
      <name val="Helvetica"/>
      <color rgb="000E1320"/>
      <sz val="11"/>
    </font>
    <font>
      <name val="Helvetica"/>
      <color rgb="006B7280"/>
      <sz val="10.5"/>
    </font>
    <font>
      <name val="Helvetica"/>
      <b val="1"/>
      <color rgb="001F2A5C"/>
      <sz val="22"/>
    </font>
    <font>
      <name val="Helvetica"/>
      <b val="1"/>
      <color rgb="000E1320"/>
      <sz val="11"/>
    </font>
    <font>
      <name val="Helvetica"/>
      <b val="1"/>
      <color rgb="001F2A5C"/>
      <sz val="12"/>
    </font>
    <font>
      <name val="Helvetica"/>
      <b val="1"/>
      <color rgb="FF876D19"/>
      <sz val="10"/>
    </font>
    <font>
      <name val="Helvetica"/>
      <color rgb="FF5E6470"/>
      <sz val="10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2A5C"/>
      </patternFill>
    </fill>
    <fill>
      <patternFill patternType="solid">
        <fgColor rgb="00F4F5F9"/>
      </patternFill>
    </fill>
    <fill>
      <patternFill patternType="solid">
        <fgColor rgb="00FFFFFF"/>
      </patternFill>
    </fill>
    <fill>
      <patternFill patternType="solid">
        <fgColor rgb="00C9A227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C9A227"/>
      </bottom>
    </border>
    <border>
      <bottom style="thin">
        <color rgb="00E5E7E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indent="1"/>
    </xf>
    <xf numFmtId="0" fontId="12" fillId="4" borderId="3" applyAlignment="1" pivotButton="0" quotePrefix="0" xfId="0">
      <alignment horizontal="left" vertical="center" indent="1"/>
    </xf>
    <xf numFmtId="0" fontId="13" fillId="4" borderId="3" applyAlignment="1" pivotButton="0" quotePrefix="0" xfId="0">
      <alignment horizontal="left" vertical="center" indent="1"/>
    </xf>
    <xf numFmtId="165" fontId="12" fillId="4" borderId="3" applyAlignment="1" pivotButton="0" quotePrefix="0" xfId="0">
      <alignment horizontal="right" vertical="center" indent="1"/>
    </xf>
    <xf numFmtId="0" fontId="11" fillId="5" borderId="3" applyAlignment="1" pivotButton="0" quotePrefix="0" xfId="0">
      <alignment horizontal="left" vertical="center" indent="1"/>
    </xf>
    <xf numFmtId="0" fontId="12" fillId="5" borderId="3" applyAlignment="1" pivotButton="0" quotePrefix="0" xfId="0">
      <alignment horizontal="left" vertical="center" indent="1"/>
    </xf>
    <xf numFmtId="0" fontId="13" fillId="5" borderId="3" applyAlignment="1" pivotButton="0" quotePrefix="0" xfId="0">
      <alignment horizontal="left" vertical="center" indent="1"/>
    </xf>
    <xf numFmtId="165" fontId="12" fillId="5" borderId="3" applyAlignment="1" pivotButton="0" quotePrefix="0" xfId="0">
      <alignment horizontal="right" vertical="center" indent="1"/>
    </xf>
    <xf numFmtId="0" fontId="12" fillId="5" borderId="3" applyAlignment="1" pivotButton="0" quotePrefix="0" xfId="0">
      <alignment horizontal="right" vertical="center" indent="1"/>
    </xf>
    <xf numFmtId="0" fontId="12" fillId="4" borderId="3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5" borderId="3" applyAlignment="1" pivotButton="0" quotePrefix="0" xfId="0">
      <alignment horizontal="left" vertical="center" indent="1"/>
    </xf>
    <xf numFmtId="3" fontId="16" fillId="5" borderId="3" applyAlignment="1" pivotButton="0" quotePrefix="0" xfId="0">
      <alignment horizontal="right" vertical="center" indent="1"/>
    </xf>
    <xf numFmtId="0" fontId="15" fillId="4" borderId="3" applyAlignment="1" pivotButton="0" quotePrefix="0" xfId="0">
      <alignment horizontal="left" vertical="center" indent="1"/>
    </xf>
    <xf numFmtId="3" fontId="16" fillId="4" borderId="3" applyAlignment="1" pivotButton="0" quotePrefix="0" xfId="0">
      <alignment horizontal="right" vertical="center" indent="1"/>
    </xf>
    <xf numFmtId="165" fontId="16" fillId="4" borderId="3" applyAlignment="1" pivotButton="0" quotePrefix="0" xfId="0">
      <alignment horizontal="right" vertical="center" indent="1"/>
    </xf>
    <xf numFmtId="165" fontId="16" fillId="5" borderId="3" applyAlignment="1" pivotButton="0" quotePrefix="0" xfId="0">
      <alignment horizontal="right" vertical="center" indent="1"/>
    </xf>
    <xf numFmtId="0" fontId="17" fillId="0" borderId="0" applyAlignment="1" pivotButton="0" quotePrefix="0" xfId="0">
      <alignment horizontal="left" vertical="center" indent="1"/>
    </xf>
    <xf numFmtId="0" fontId="18" fillId="4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zoomScale="110"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44" customHeight="1">
      <c r="A1" s="12" t="inlineStr">
        <is>
          <t>SplinterHR — Compensation Report</t>
        </is>
      </c>
    </row>
    <row r="2" ht="6" customHeight="1"/>
    <row r="3" ht="22" customHeight="1">
      <c r="A3" s="35" t="inlineStr">
        <is>
          <t>Report:</t>
        </is>
      </c>
      <c r="B3" s="14" t="inlineStr">
        <is>
          <t>Active Roster Compensation — Standard Export</t>
        </is>
      </c>
    </row>
    <row r="4" ht="22" customHeight="1">
      <c r="A4" s="35" t="inlineStr">
        <is>
          <t>Run by:</t>
        </is>
      </c>
      <c r="B4" s="14" t="inlineStr">
        <is>
          <t>Grayson Oshimoto (goshimoto)</t>
        </is>
      </c>
    </row>
    <row r="5" ht="22" customHeight="1">
      <c r="A5" s="35" t="inlineStr">
        <is>
          <t>Run date:</t>
        </is>
      </c>
      <c r="B5" s="14" t="inlineStr">
        <is>
          <t>04/30/2026</t>
        </is>
      </c>
    </row>
    <row r="6" ht="22" customHeight="1">
      <c r="A6" s="35" t="inlineStr">
        <is>
          <t>Effective as of:</t>
        </is>
      </c>
      <c r="B6" s="14" t="inlineStr">
        <is>
          <t>30APR2026</t>
        </is>
      </c>
    </row>
    <row r="7" ht="22" customHeight="1">
      <c r="A7" s="35" t="inlineStr">
        <is>
          <t>Source system:</t>
        </is>
      </c>
      <c r="B7" s="14" t="inlineStr">
        <is>
          <t>SplinterHR (Prod)</t>
        </is>
      </c>
    </row>
    <row r="9" ht="24" customHeight="1">
      <c r="A9" s="15" t="inlineStr">
        <is>
          <t>Reconciled to signed offer letters 04/30/2026, GO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26" customWidth="1" min="4" max="4"/>
    <col width="18" customWidth="1" min="5" max="5"/>
    <col width="18" customWidth="1" min="6" max="6"/>
  </cols>
  <sheetData>
    <row r="1" ht="30" customHeight="1">
      <c r="A1" s="16" t="inlineStr">
        <is>
          <t>EmployeeID</t>
        </is>
      </c>
      <c r="B1" s="16" t="inlineStr">
        <is>
          <t>Name</t>
        </is>
      </c>
      <c r="C1" s="16" t="inlineStr">
        <is>
          <t>Title</t>
        </is>
      </c>
      <c r="D1" s="16" t="inlineStr">
        <is>
          <t>Department</t>
        </is>
      </c>
      <c r="E1" s="16" t="inlineStr">
        <is>
          <t>AnnualSalary</t>
        </is>
      </c>
      <c r="F1" s="16" t="inlineStr">
        <is>
          <t>LastChangeDate</t>
        </is>
      </c>
    </row>
    <row r="2" ht="20" customHeight="1">
      <c r="A2" s="17" t="inlineStr">
        <is>
          <t>TRT-0001</t>
        </is>
      </c>
      <c r="B2" s="18" t="inlineStr">
        <is>
          <t>Michael Labeson</t>
        </is>
      </c>
      <c r="C2" s="36" t="inlineStr">
        <is>
          <t>Chief Executive Officer and Co-founder</t>
        </is>
      </c>
      <c r="D2" s="36" t="inlineStr">
        <is>
          <t>Finance and Corporate</t>
        </is>
      </c>
      <c r="E2" s="20" t="n">
        <v>215000</v>
      </c>
      <c r="F2" s="36" t="inlineStr">
        <is>
          <t>12FEB2025</t>
        </is>
      </c>
    </row>
    <row r="3" ht="20" customHeight="1">
      <c r="A3" s="21" t="inlineStr">
        <is>
          <t>TRT-0002</t>
        </is>
      </c>
      <c r="B3" s="22" t="inlineStr">
        <is>
          <t>Sora Jackson</t>
        </is>
      </c>
      <c r="C3" s="23" t="inlineStr">
        <is>
          <t>Chief Technology Officer and Co-founder</t>
        </is>
      </c>
      <c r="D3" s="23" t="inlineStr">
        <is>
          <t>Engineering</t>
        </is>
      </c>
      <c r="E3" s="24" t="n">
        <v>205000</v>
      </c>
      <c r="F3" s="23" t="inlineStr">
        <is>
          <t>09APR2025</t>
        </is>
      </c>
    </row>
    <row r="4" ht="20" customHeight="1">
      <c r="A4" s="17" t="inlineStr">
        <is>
          <t>TRT-0005</t>
        </is>
      </c>
      <c r="B4" s="18" t="inlineStr">
        <is>
          <t>Mikelle Hosana</t>
        </is>
      </c>
      <c r="C4" s="36" t="inlineStr">
        <is>
          <t>Staff Software Engineer</t>
        </is>
      </c>
      <c r="D4" s="36" t="inlineStr">
        <is>
          <t>Engineering</t>
        </is>
      </c>
      <c r="E4" s="20" t="n">
        <v>187510</v>
      </c>
      <c r="F4" s="36" t="inlineStr">
        <is>
          <t>21JAN2025</t>
        </is>
      </c>
    </row>
    <row r="5" ht="20" customHeight="1">
      <c r="A5" s="21" t="inlineStr">
        <is>
          <t>TRT-0006</t>
        </is>
      </c>
      <c r="B5" s="22" t="inlineStr">
        <is>
          <t>Grayson Oshimoto</t>
        </is>
      </c>
      <c r="C5" s="23" t="inlineStr">
        <is>
          <t>Office Manager</t>
        </is>
      </c>
      <c r="D5" s="23" t="inlineStr">
        <is>
          <t>Finance and Corporate</t>
        </is>
      </c>
      <c r="E5" s="24" t="n">
        <v>76500</v>
      </c>
      <c r="F5" s="23" t="inlineStr">
        <is>
          <t>06JAN2025</t>
        </is>
      </c>
    </row>
    <row r="6" ht="20" customHeight="1">
      <c r="A6" s="17" t="inlineStr">
        <is>
          <t>TRT-0009</t>
        </is>
      </c>
      <c r="B6" s="18" t="inlineStr">
        <is>
          <t>Krystale Jumawan</t>
        </is>
      </c>
      <c r="C6" s="36" t="inlineStr">
        <is>
          <t>Finance Manager</t>
        </is>
      </c>
      <c r="D6" s="36" t="inlineStr">
        <is>
          <t>Finance and Corporate</t>
        </is>
      </c>
      <c r="E6" s="20" t="n">
        <v>138700</v>
      </c>
      <c r="F6" s="36" t="inlineStr">
        <is>
          <t>03MAR2025</t>
        </is>
      </c>
    </row>
    <row r="7" ht="20" customHeight="1">
      <c r="A7" s="21" t="inlineStr">
        <is>
          <t>TRT-0012</t>
        </is>
      </c>
      <c r="B7" s="22" t="inlineStr">
        <is>
          <t>Jessica Ko</t>
        </is>
      </c>
      <c r="C7" s="23" t="inlineStr">
        <is>
          <t>Engineering Manager</t>
        </is>
      </c>
      <c r="D7" s="23" t="inlineStr">
        <is>
          <t>Engineering</t>
        </is>
      </c>
      <c r="E7" s="24" t="n">
        <v>176400</v>
      </c>
      <c r="F7" s="23" t="inlineStr">
        <is>
          <t>15FEB2024</t>
        </is>
      </c>
    </row>
    <row r="8" ht="20" customHeight="1">
      <c r="A8" s="17" t="inlineStr">
        <is>
          <t>TRT-0014</t>
        </is>
      </c>
      <c r="B8" s="18" t="inlineStr">
        <is>
          <t>Rohan Iyer</t>
        </is>
      </c>
      <c r="C8" s="36" t="inlineStr">
        <is>
          <t>Senior Software Engineer</t>
        </is>
      </c>
      <c r="D8" s="36" t="inlineStr">
        <is>
          <t>Engineering</t>
        </is>
      </c>
      <c r="E8" s="20" t="n">
        <v>156700</v>
      </c>
      <c r="F8" s="36" t="inlineStr">
        <is>
          <t>07OCT2024</t>
        </is>
      </c>
    </row>
    <row r="9" ht="20" customHeight="1">
      <c r="A9" s="21" t="inlineStr">
        <is>
          <t>TRT-0018</t>
        </is>
      </c>
      <c r="B9" s="22" t="inlineStr">
        <is>
          <t>Marisela Thornbury</t>
        </is>
      </c>
      <c r="C9" s="23" t="inlineStr">
        <is>
          <t>Vice President of Sales</t>
        </is>
      </c>
      <c r="D9" s="23" t="inlineStr">
        <is>
          <t>Sales</t>
        </is>
      </c>
      <c r="E9" s="24" t="n">
        <v>173300</v>
      </c>
      <c r="F9" s="23" t="inlineStr">
        <is>
          <t>22JAN2025</t>
        </is>
      </c>
    </row>
    <row r="10" ht="20" customHeight="1">
      <c r="A10" s="17" t="inlineStr">
        <is>
          <t>TRT-0021</t>
        </is>
      </c>
      <c r="B10" s="18" t="inlineStr">
        <is>
          <t>Edith Bustamante</t>
        </is>
      </c>
      <c r="C10" s="36" t="inlineStr">
        <is>
          <t>Customer Success Lead</t>
        </is>
      </c>
      <c r="D10" s="36" t="inlineStr">
        <is>
          <t>Customer Success</t>
        </is>
      </c>
      <c r="E10" s="20" t="n">
        <v>121300</v>
      </c>
      <c r="F10" s="36" t="inlineStr">
        <is>
          <t>11FEB2025</t>
        </is>
      </c>
    </row>
    <row r="11" ht="20" customHeight="1">
      <c r="A11" s="21" t="inlineStr">
        <is>
          <t>TRT-0023</t>
        </is>
      </c>
      <c r="B11" s="22" t="inlineStr">
        <is>
          <t>Maeve Oyinlola</t>
        </is>
      </c>
      <c r="C11" s="23" t="inlineStr">
        <is>
          <t>Senior Software Engineer</t>
        </is>
      </c>
      <c r="D11" s="23" t="inlineStr">
        <is>
          <t>Engineering</t>
        </is>
      </c>
      <c r="E11" s="24" t="n">
        <v>154900</v>
      </c>
      <c r="F11" s="23" t="inlineStr">
        <is>
          <t>04APR2025</t>
        </is>
      </c>
    </row>
    <row r="12" ht="20" customHeight="1">
      <c r="A12" s="17" t="inlineStr">
        <is>
          <t>TRT-0027</t>
        </is>
      </c>
      <c r="B12" s="18" t="inlineStr">
        <is>
          <t>Kenji Abubakar</t>
        </is>
      </c>
      <c r="C12" s="36" t="inlineStr">
        <is>
          <t>Head of Marketing</t>
        </is>
      </c>
      <c r="D12" s="36" t="inlineStr">
        <is>
          <t>Marketing</t>
        </is>
      </c>
      <c r="E12" s="20" t="n">
        <v>157600</v>
      </c>
      <c r="F12" s="36" t="inlineStr">
        <is>
          <t>18FEB2025</t>
        </is>
      </c>
    </row>
    <row r="13" ht="20" customHeight="1">
      <c r="A13" s="21" t="inlineStr">
        <is>
          <t>TRT-0029</t>
        </is>
      </c>
      <c r="B13" s="22" t="inlineStr">
        <is>
          <t>Emeka Thorsen</t>
        </is>
      </c>
      <c r="C13" s="23" t="inlineStr">
        <is>
          <t>Account Executive</t>
        </is>
      </c>
      <c r="D13" s="23" t="inlineStr">
        <is>
          <t>Sales</t>
        </is>
      </c>
      <c r="E13" s="24" t="n">
        <v>101400</v>
      </c>
      <c r="F13" s="23" t="inlineStr">
        <is>
          <t>06JAN2025</t>
        </is>
      </c>
    </row>
    <row r="14" ht="20" customHeight="1">
      <c r="A14" s="17" t="inlineStr">
        <is>
          <t>TRT-0031</t>
        </is>
      </c>
      <c r="B14" s="18" t="inlineStr">
        <is>
          <t>Zephyr Adebayo</t>
        </is>
      </c>
      <c r="C14" s="36" t="inlineStr">
        <is>
          <t>Senior Site Reliability Engineer</t>
        </is>
      </c>
      <c r="D14" s="36" t="inlineStr">
        <is>
          <t>Engineering</t>
        </is>
      </c>
      <c r="E14" s="20" t="n">
        <v>161200</v>
      </c>
      <c r="F14" s="36" t="inlineStr">
        <is>
          <t>03MAR2025</t>
        </is>
      </c>
    </row>
    <row r="15" ht="20" customHeight="1">
      <c r="A15" s="21" t="inlineStr">
        <is>
          <t>TRT-0034</t>
        </is>
      </c>
      <c r="B15" s="22" t="inlineStr">
        <is>
          <t>Luka Odum</t>
        </is>
      </c>
      <c r="C15" s="23" t="inlineStr">
        <is>
          <t>Talent Acquisition Specialist</t>
        </is>
      </c>
      <c r="D15" s="23" t="inlineStr">
        <is>
          <t>Finance and Corporate</t>
        </is>
      </c>
      <c r="E15" s="24" t="n">
        <v>84600</v>
      </c>
      <c r="F15" s="23" t="inlineStr">
        <is>
          <t>27JAN2025</t>
        </is>
      </c>
    </row>
    <row r="16" ht="20" customHeight="1">
      <c r="A16" s="17" t="inlineStr">
        <is>
          <t>TRT-0037</t>
        </is>
      </c>
      <c r="B16" s="18" t="inlineStr">
        <is>
          <t>Piper Athanasoulis</t>
        </is>
      </c>
      <c r="C16" s="36" t="inlineStr">
        <is>
          <t>Account Executive</t>
        </is>
      </c>
      <c r="D16" s="36" t="inlineStr">
        <is>
          <t>Sales</t>
        </is>
      </c>
      <c r="E16" s="20" t="n">
        <v>68900</v>
      </c>
      <c r="F16" s="36" t="inlineStr">
        <is>
          <t>12APR2024</t>
        </is>
      </c>
    </row>
    <row r="17" ht="20" customHeight="1">
      <c r="A17" s="21" t="inlineStr">
        <is>
          <t>TRT-0040</t>
        </is>
      </c>
      <c r="B17" s="22" t="inlineStr">
        <is>
          <t>Ilse Van der Kolk</t>
        </is>
      </c>
      <c r="C17" s="23" t="inlineStr">
        <is>
          <t>Head of Product</t>
        </is>
      </c>
      <c r="D17" s="23" t="inlineStr">
        <is>
          <t>Product</t>
        </is>
      </c>
      <c r="E17" s="24" t="n">
        <v>176400</v>
      </c>
      <c r="F17" s="23" t="inlineStr">
        <is>
          <t>25FEB2025</t>
        </is>
      </c>
    </row>
    <row r="18" ht="20" customHeight="1">
      <c r="A18" s="17" t="inlineStr">
        <is>
          <t>TRT-0043</t>
        </is>
      </c>
      <c r="B18" s="18" t="inlineStr">
        <is>
          <t>Oren Kastellanos</t>
        </is>
      </c>
      <c r="C18" s="36" t="inlineStr">
        <is>
          <t>Senior Account Manager</t>
        </is>
      </c>
      <c r="D18" s="36" t="inlineStr">
        <is>
          <t>Sales</t>
        </is>
      </c>
      <c r="E18" s="20" t="n">
        <v>97350</v>
      </c>
      <c r="F18" s="36" t="inlineStr">
        <is>
          <t>14FEB2025</t>
        </is>
      </c>
    </row>
    <row r="19" ht="20" customHeight="1">
      <c r="A19" s="21" t="inlineStr">
        <is>
          <t>TRT-0045</t>
        </is>
      </c>
      <c r="B19" s="22" t="inlineStr">
        <is>
          <t>Thaddeus Ilunga</t>
        </is>
      </c>
      <c r="C19" s="23" t="inlineStr">
        <is>
          <t>Customer Success Manager</t>
        </is>
      </c>
      <c r="D19" s="23" t="inlineStr">
        <is>
          <t>Customer Success</t>
        </is>
      </c>
      <c r="E19" s="24" t="n">
        <v>100800</v>
      </c>
      <c r="F19" s="23" t="inlineStr">
        <is>
          <t>19FEB2025</t>
        </is>
      </c>
    </row>
    <row r="20" ht="20" customHeight="1">
      <c r="A20" s="17" t="inlineStr">
        <is>
          <t>TRT-0047</t>
        </is>
      </c>
      <c r="B20" s="18" t="inlineStr">
        <is>
          <t>Sunniva Mbeki</t>
        </is>
      </c>
      <c r="C20" s="36" t="inlineStr">
        <is>
          <t>Software Engineer II</t>
        </is>
      </c>
      <c r="D20" s="36" t="inlineStr">
        <is>
          <t>Engineering</t>
        </is>
      </c>
      <c r="E20" s="20" t="n">
        <v>132300</v>
      </c>
      <c r="F20" s="36" t="inlineStr">
        <is>
          <t>24FEB2025</t>
        </is>
      </c>
    </row>
    <row r="21" ht="20" customHeight="1">
      <c r="A21" s="21" t="inlineStr">
        <is>
          <t>TRT-0049</t>
        </is>
      </c>
      <c r="B21" s="22" t="inlineStr">
        <is>
          <t>Halston Perevalov</t>
        </is>
      </c>
      <c r="C21" s="23" t="inlineStr">
        <is>
          <t>Sales Development Representative</t>
        </is>
      </c>
      <c r="D21" s="23" t="inlineStr">
        <is>
          <t>Sales</t>
        </is>
      </c>
      <c r="E21" s="24" t="n">
        <v>74250</v>
      </c>
      <c r="F21" s="23" t="inlineStr">
        <is>
          <t>14NOV2024</t>
        </is>
      </c>
    </row>
    <row r="22" ht="20" customHeight="1">
      <c r="A22" s="17" t="inlineStr">
        <is>
          <t>TRT-0051</t>
        </is>
      </c>
      <c r="B22" s="18" t="inlineStr">
        <is>
          <t>Priyamvada Raghunath</t>
        </is>
      </c>
      <c r="C22" s="36" t="inlineStr">
        <is>
          <t>Software Engineer II</t>
        </is>
      </c>
      <c r="D22" s="36" t="inlineStr">
        <is>
          <t>Engineering</t>
        </is>
      </c>
      <c r="E22" s="20" t="n">
        <v>129800</v>
      </c>
      <c r="F22" s="36" t="inlineStr">
        <is>
          <t>06JAN2025</t>
        </is>
      </c>
    </row>
    <row r="23" ht="20" customHeight="1">
      <c r="A23" s="21" t="inlineStr">
        <is>
          <t>TRT-0052</t>
        </is>
      </c>
      <c r="B23" s="22" t="inlineStr">
        <is>
          <t>Persephone Adeyinka</t>
        </is>
      </c>
      <c r="C23" s="23" t="inlineStr">
        <is>
          <t>Content Marketing Manager</t>
        </is>
      </c>
      <c r="D23" s="23" t="inlineStr">
        <is>
          <t>Marketing</t>
        </is>
      </c>
      <c r="E23" s="24" t="n">
        <v>103700</v>
      </c>
      <c r="F23" s="23" t="inlineStr">
        <is>
          <t>17MAR2025</t>
        </is>
      </c>
    </row>
    <row r="24" ht="20" customHeight="1">
      <c r="A24" s="17" t="inlineStr">
        <is>
          <t>TRT-0055</t>
        </is>
      </c>
      <c r="B24" s="18" t="inlineStr">
        <is>
          <t>Ignatius Werahiko</t>
        </is>
      </c>
      <c r="C24" s="36" t="inlineStr">
        <is>
          <t>Software Engineer II</t>
        </is>
      </c>
      <c r="D24" s="36" t="inlineStr">
        <is>
          <t>Engineering</t>
        </is>
      </c>
      <c r="E24" s="20" t="n">
        <v>130450</v>
      </c>
      <c r="F24" s="36" t="inlineStr">
        <is>
          <t>09APR2025</t>
        </is>
      </c>
    </row>
    <row r="25" ht="20" customHeight="1">
      <c r="A25" s="21" t="inlineStr">
        <is>
          <t>TRT-0058</t>
        </is>
      </c>
      <c r="B25" s="22" t="inlineStr">
        <is>
          <t>Callum Oyelaran</t>
        </is>
      </c>
      <c r="C25" s="23" t="inlineStr">
        <is>
          <t>Account Executive</t>
        </is>
      </c>
      <c r="D25" s="23" t="inlineStr">
        <is>
          <t>Sales</t>
        </is>
      </c>
      <c r="E25" s="24" t="n">
        <v>94750</v>
      </c>
      <c r="F25" s="23" t="inlineStr">
        <is>
          <t>20JAN2025</t>
        </is>
      </c>
    </row>
    <row r="26" ht="20" customHeight="1">
      <c r="A26" s="17" t="inlineStr">
        <is>
          <t>TRT-0062</t>
        </is>
      </c>
      <c r="B26" s="18" t="inlineStr">
        <is>
          <t>Tina Jung</t>
        </is>
      </c>
      <c r="C26" s="36" t="inlineStr">
        <is>
          <t>Senior Software Engineer</t>
        </is>
      </c>
      <c r="D26" s="36" t="inlineStr">
        <is>
          <t>Engineering</t>
        </is>
      </c>
      <c r="E26" s="20" t="n">
        <v>152600</v>
      </c>
      <c r="F26" s="36" t="inlineStr">
        <is>
          <t>30JAN2025</t>
        </is>
      </c>
    </row>
    <row r="27" ht="20" customHeight="1">
      <c r="A27" s="21" t="inlineStr">
        <is>
          <t>TRT-0064</t>
        </is>
      </c>
      <c r="B27" s="22" t="inlineStr">
        <is>
          <t>Marguerite Delacroix-Hahn</t>
        </is>
      </c>
      <c r="C27" s="23" t="inlineStr">
        <is>
          <t>Customer Success Manager</t>
        </is>
      </c>
      <c r="D27" s="23" t="inlineStr">
        <is>
          <t>Customer Success</t>
        </is>
      </c>
      <c r="E27" s="24" t="n">
        <v>71377</v>
      </c>
      <c r="F27" s="23" t="inlineStr">
        <is>
          <t>07NOV2024</t>
        </is>
      </c>
    </row>
    <row r="28" ht="20" customHeight="1">
      <c r="A28" s="17" t="inlineStr">
        <is>
          <t>TRT-0066</t>
        </is>
      </c>
      <c r="B28" s="18" t="inlineStr">
        <is>
          <t>Tomasz Ekwueme</t>
        </is>
      </c>
      <c r="C28" s="36" t="inlineStr">
        <is>
          <t>Engineering Manager, Platform</t>
        </is>
      </c>
      <c r="D28" s="36" t="inlineStr">
        <is>
          <t>Engineering</t>
        </is>
      </c>
      <c r="E28" s="20" t="n">
        <v>179800</v>
      </c>
      <c r="F28" s="36" t="inlineStr">
        <is>
          <t>11FEB2025</t>
        </is>
      </c>
    </row>
    <row r="29" ht="20" customHeight="1">
      <c r="A29" s="21" t="inlineStr">
        <is>
          <t>TRT-0069</t>
        </is>
      </c>
      <c r="B29" s="22" t="inlineStr">
        <is>
          <t>Xiomara Bekele</t>
        </is>
      </c>
      <c r="C29" s="23" t="inlineStr">
        <is>
          <t>Customer Success Manager</t>
        </is>
      </c>
      <c r="D29" s="23" t="inlineStr">
        <is>
          <t>Customer Success</t>
        </is>
      </c>
      <c r="E29" s="24" t="n">
        <v>99300</v>
      </c>
      <c r="F29" s="23" t="inlineStr">
        <is>
          <t>18MAR2025</t>
        </is>
      </c>
    </row>
    <row r="30" ht="20" customHeight="1">
      <c r="A30" s="17" t="inlineStr">
        <is>
          <t>TRT-0071</t>
        </is>
      </c>
      <c r="B30" s="18" t="inlineStr">
        <is>
          <t>Samuel Burkenham</t>
        </is>
      </c>
      <c r="C30" s="36" t="inlineStr">
        <is>
          <t>Data Analyst</t>
        </is>
      </c>
      <c r="D30" s="36" t="inlineStr">
        <is>
          <t>Product</t>
        </is>
      </c>
      <c r="E30" s="20" t="n">
        <v>81000</v>
      </c>
      <c r="F30" s="36" t="inlineStr">
        <is>
          <t>22APR2024</t>
        </is>
      </c>
    </row>
    <row r="31" ht="20" customHeight="1">
      <c r="A31" s="21" t="inlineStr">
        <is>
          <t>TRT-0074</t>
        </is>
      </c>
      <c r="B31" s="22" t="inlineStr">
        <is>
          <t>Cassius Oyelowo</t>
        </is>
      </c>
      <c r="C31" s="23" t="inlineStr">
        <is>
          <t>Software Engineer I</t>
        </is>
      </c>
      <c r="D31" s="23" t="inlineStr">
        <is>
          <t>Engineering</t>
        </is>
      </c>
      <c r="E31" s="24" t="n">
        <v>111800</v>
      </c>
      <c r="F31" s="23" t="inlineStr">
        <is>
          <t>05FEB2025</t>
        </is>
      </c>
    </row>
    <row r="32" ht="20" customHeight="1">
      <c r="A32" s="17" t="inlineStr">
        <is>
          <t>TRT-0076</t>
        </is>
      </c>
      <c r="B32" s="18" t="inlineStr">
        <is>
          <t>Nikolai Oyeleke</t>
        </is>
      </c>
      <c r="C32" s="36" t="inlineStr">
        <is>
          <t>Senior Product Manager</t>
        </is>
      </c>
      <c r="D32" s="36" t="inlineStr">
        <is>
          <t>Product</t>
        </is>
      </c>
      <c r="E32" s="20" t="n">
        <v>151900</v>
      </c>
      <c r="F32" s="36" t="inlineStr">
        <is>
          <t>13MAR2025</t>
        </is>
      </c>
    </row>
    <row r="33" ht="20" customHeight="1">
      <c r="A33" s="21" t="inlineStr">
        <is>
          <t>TRT-0079</t>
        </is>
      </c>
      <c r="B33" s="22" t="inlineStr">
        <is>
          <t>Wren Takahashi-Bell</t>
        </is>
      </c>
      <c r="C33" s="23" t="inlineStr">
        <is>
          <t>Product Designer</t>
        </is>
      </c>
      <c r="D33" s="23" t="inlineStr">
        <is>
          <t>Product</t>
        </is>
      </c>
      <c r="E33" s="24" t="n">
        <v>119600</v>
      </c>
      <c r="F33" s="23" t="inlineStr">
        <is>
          <t>26JAN2025</t>
        </is>
      </c>
    </row>
    <row r="34" ht="20" customHeight="1">
      <c r="A34" s="17" t="inlineStr">
        <is>
          <t>TRT-0083</t>
        </is>
      </c>
      <c r="B34" s="18" t="inlineStr">
        <is>
          <t>Desmond Achterberg</t>
        </is>
      </c>
      <c r="C34" s="36" t="inlineStr">
        <is>
          <t>Customer Success Manager</t>
        </is>
      </c>
      <c r="D34" s="36" t="inlineStr">
        <is>
          <t>Customer Success</t>
        </is>
      </c>
      <c r="E34" s="20" t="n">
        <v>93100</v>
      </c>
      <c r="F34" s="36" t="inlineStr">
        <is>
          <t>19JUN2023</t>
        </is>
      </c>
    </row>
    <row r="35" ht="20" customHeight="1">
      <c r="A35" s="21" t="inlineStr">
        <is>
          <t>TRT-0086</t>
        </is>
      </c>
      <c r="B35" s="22" t="inlineStr">
        <is>
          <t>Rosalind Munro</t>
        </is>
      </c>
      <c r="C35" s="23" t="inlineStr">
        <is>
          <t>Sales Development Representative</t>
        </is>
      </c>
      <c r="D35" s="23" t="inlineStr">
        <is>
          <t>Sales</t>
        </is>
      </c>
      <c r="E35" s="24" t="n">
        <v>63750</v>
      </c>
      <c r="F35" s="23" t="inlineStr">
        <is>
          <t>14FEB2025</t>
        </is>
      </c>
    </row>
    <row r="36" ht="20" customHeight="1">
      <c r="A36" s="17" t="inlineStr">
        <is>
          <t>TRT-0088</t>
        </is>
      </c>
      <c r="B36" s="18" t="inlineStr">
        <is>
          <t>Yolanda Featherstone</t>
        </is>
      </c>
      <c r="C36" s="36" t="inlineStr">
        <is>
          <t>Customer Success Manager</t>
        </is>
      </c>
      <c r="D36" s="36" t="inlineStr">
        <is>
          <t>Customer Success</t>
        </is>
      </c>
      <c r="E36" s="20" t="n">
        <v>104000</v>
      </c>
      <c r="F36" s="36" t="inlineStr">
        <is>
          <t>08APR2025</t>
        </is>
      </c>
    </row>
    <row r="37" ht="20" customHeight="1">
      <c r="A37" s="21" t="inlineStr">
        <is>
          <t>TRT-0091</t>
        </is>
      </c>
      <c r="B37" s="22" t="inlineStr">
        <is>
          <t>Beatrix Nakagawa</t>
        </is>
      </c>
      <c r="C37" s="23" t="inlineStr">
        <is>
          <t>Data Engineer</t>
        </is>
      </c>
      <c r="D37" s="23" t="inlineStr">
        <is>
          <t>Engineering</t>
        </is>
      </c>
      <c r="E37" s="24" t="n">
        <v>144500</v>
      </c>
      <c r="F37" s="23" t="inlineStr">
        <is>
          <t>24FEB2025</t>
        </is>
      </c>
    </row>
    <row r="38" ht="20" customHeight="1">
      <c r="A38" s="17" t="inlineStr">
        <is>
          <t>TRT-0093</t>
        </is>
      </c>
      <c r="B38" s="18" t="inlineStr">
        <is>
          <t>Caspian Nwachukwu</t>
        </is>
      </c>
      <c r="C38" s="36" t="inlineStr">
        <is>
          <t>Demand Generation Manager</t>
        </is>
      </c>
      <c r="D38" s="36" t="inlineStr">
        <is>
          <t>Marketing</t>
        </is>
      </c>
      <c r="E38" s="20" t="n">
        <v>109300</v>
      </c>
      <c r="F38" s="36" t="inlineStr">
        <is>
          <t>03MAR2025</t>
        </is>
      </c>
    </row>
    <row r="39" ht="20" customHeight="1">
      <c r="A39" s="21" t="inlineStr">
        <is>
          <t>TRT-0096</t>
        </is>
      </c>
      <c r="B39" s="22" t="inlineStr">
        <is>
          <t>Delphine Marchetti</t>
        </is>
      </c>
      <c r="C39" s="23" t="inlineStr">
        <is>
          <t>Support Specialist</t>
        </is>
      </c>
      <c r="D39" s="23" t="inlineStr">
        <is>
          <t>Customer Success</t>
        </is>
      </c>
      <c r="E39" s="24" t="n">
        <v>58000</v>
      </c>
      <c r="F39" s="23" t="inlineStr">
        <is>
          <t>17AUG2025</t>
        </is>
      </c>
    </row>
    <row r="40" ht="20" customHeight="1">
      <c r="A40" s="17" t="inlineStr">
        <is>
          <t>TRT-0099</t>
        </is>
      </c>
      <c r="B40" s="18" t="inlineStr">
        <is>
          <t>Leopold Anyanwu</t>
        </is>
      </c>
      <c r="C40" s="36" t="inlineStr">
        <is>
          <t>Onboarding Specialist</t>
        </is>
      </c>
      <c r="D40" s="36" t="inlineStr">
        <is>
          <t>Customer Success</t>
        </is>
      </c>
      <c r="E40" s="20" t="n">
        <v>77650</v>
      </c>
      <c r="F40" s="36" t="inlineStr">
        <is>
          <t>07APR2025</t>
        </is>
      </c>
    </row>
    <row r="41" ht="20" customHeight="1">
      <c r="A41" s="21" t="inlineStr">
        <is>
          <t>TRT-0102</t>
        </is>
      </c>
      <c r="B41" s="22" t="inlineStr">
        <is>
          <t>Lucía Ferrante</t>
        </is>
      </c>
      <c r="C41" s="23" t="inlineStr">
        <is>
          <t>Software Engineer I</t>
        </is>
      </c>
      <c r="D41" s="23" t="inlineStr">
        <is>
          <t>Engineering</t>
        </is>
      </c>
      <c r="E41" s="24" t="n">
        <v>108900</v>
      </c>
      <c r="F41" s="23" t="inlineStr">
        <is>
          <t>20JAN2025</t>
        </is>
      </c>
    </row>
    <row r="42" ht="20" customHeight="1">
      <c r="A42" s="17" t="inlineStr">
        <is>
          <t>TRT-0105</t>
        </is>
      </c>
      <c r="B42" s="18" t="inlineStr">
        <is>
          <t>Olamide Fitzwilliam</t>
        </is>
      </c>
      <c r="C42" s="36" t="inlineStr">
        <is>
          <t>Software Engineer I</t>
        </is>
      </c>
      <c r="D42" s="36" t="inlineStr">
        <is>
          <t>Engineering</t>
        </is>
      </c>
      <c r="E42" s="20" t="n">
        <v>109200</v>
      </c>
      <c r="F42" s="36" t="inlineStr">
        <is>
          <t>04MAR2025</t>
        </is>
      </c>
    </row>
    <row r="43" ht="20" customHeight="1">
      <c r="A43" s="21" t="inlineStr">
        <is>
          <t>TRT-0108</t>
        </is>
      </c>
      <c r="B43" s="22" t="inlineStr">
        <is>
          <t>Gideon Marlowe</t>
        </is>
      </c>
      <c r="C43" s="23" t="inlineStr">
        <is>
          <t>Account Executive</t>
        </is>
      </c>
      <c r="D43" s="23" t="inlineStr">
        <is>
          <t>Sales</t>
        </is>
      </c>
      <c r="E43" s="24" t="n">
        <v>95850</v>
      </c>
      <c r="F43" s="23" t="inlineStr">
        <is>
          <t>16JAN2025</t>
        </is>
      </c>
    </row>
    <row r="44" ht="20" customHeight="1">
      <c r="A44" s="17" t="inlineStr">
        <is>
          <t>TRT-0110</t>
        </is>
      </c>
      <c r="B44" s="18" t="inlineStr">
        <is>
          <t>Bartholomew Oduya</t>
        </is>
      </c>
      <c r="C44" s="36" t="inlineStr">
        <is>
          <t>Account Executive</t>
        </is>
      </c>
      <c r="D44" s="36" t="inlineStr">
        <is>
          <t>Sales</t>
        </is>
      </c>
      <c r="E44" s="20" t="n">
        <v>91200</v>
      </c>
      <c r="F44" s="36" t="inlineStr">
        <is>
          <t>17MAR2025</t>
        </is>
      </c>
    </row>
    <row r="45" ht="20" customHeight="1">
      <c r="A45" s="21" t="inlineStr">
        <is>
          <t>TRT-0113</t>
        </is>
      </c>
      <c r="B45" s="22" t="inlineStr">
        <is>
          <t>Winnie Barslanian</t>
        </is>
      </c>
      <c r="C45" s="23" t="inlineStr">
        <is>
          <t>Support Specialist</t>
        </is>
      </c>
      <c r="D45" s="23" t="inlineStr">
        <is>
          <t>Customer Success</t>
        </is>
      </c>
      <c r="E45" s="24" t="n">
        <v>61900</v>
      </c>
      <c r="F45" s="23" t="inlineStr">
        <is>
          <t>25FEB2025</t>
        </is>
      </c>
    </row>
    <row r="46" ht="20" customHeight="1">
      <c r="A46" s="17" t="inlineStr">
        <is>
          <t>TRT-0117</t>
        </is>
      </c>
      <c r="B46" s="18" t="inlineStr">
        <is>
          <t>Belaviv Luk</t>
        </is>
      </c>
      <c r="C46" s="36" t="inlineStr">
        <is>
          <t>Senior Software Engineer</t>
        </is>
      </c>
      <c r="D46" s="36" t="inlineStr">
        <is>
          <t>Engineering</t>
        </is>
      </c>
      <c r="E46" s="20" t="n">
        <v>138000</v>
      </c>
      <c r="F46" s="36" t="inlineStr">
        <is>
          <t>19FEB2024</t>
        </is>
      </c>
    </row>
    <row r="47" ht="20" customHeight="1">
      <c r="A47" s="21" t="inlineStr">
        <is>
          <t>TRT-0119</t>
        </is>
      </c>
      <c r="B47" s="22" t="inlineStr">
        <is>
          <t>Hectori Bung</t>
        </is>
      </c>
      <c r="C47" s="23" t="inlineStr">
        <is>
          <t>Software Engineer II</t>
        </is>
      </c>
      <c r="D47" s="23" t="inlineStr">
        <is>
          <t>Engineering</t>
        </is>
      </c>
      <c r="E47" s="24" t="n">
        <v>134000</v>
      </c>
      <c r="F47" s="23" t="inlineStr">
        <is>
          <t>13JAN2025</t>
        </is>
      </c>
    </row>
    <row r="48" ht="20" customHeight="1">
      <c r="A48" s="17" t="inlineStr">
        <is>
          <t>TRT-0122</t>
        </is>
      </c>
      <c r="B48" s="18" t="inlineStr">
        <is>
          <t>Amara Osei-Tutu</t>
        </is>
      </c>
      <c r="C48" s="36" t="inlineStr">
        <is>
          <t>Software Engineer II</t>
        </is>
      </c>
      <c r="D48" s="36" t="inlineStr">
        <is>
          <t>Engineering</t>
        </is>
      </c>
      <c r="E48" s="20" t="n">
        <v>125600</v>
      </c>
      <c r="F48" s="36" t="inlineStr">
        <is>
          <t>29SEP2025</t>
        </is>
      </c>
    </row>
    <row r="49" ht="20" customHeight="1">
      <c r="A49" s="21" t="inlineStr">
        <is>
          <t>TRT-0128</t>
        </is>
      </c>
      <c r="B49" s="22" t="inlineStr">
        <is>
          <t>Beenan Lanik</t>
        </is>
      </c>
      <c r="C49" s="23" t="inlineStr">
        <is>
          <t>Software Engineer II</t>
        </is>
      </c>
      <c r="D49" s="23" t="inlineStr">
        <is>
          <t>Engineering</t>
        </is>
      </c>
      <c r="E49" s="24" t="n">
        <v>129750</v>
      </c>
      <c r="F49" s="23" t="inlineStr">
        <is>
          <t>06OCT2025</t>
        </is>
      </c>
    </row>
    <row r="50" ht="20" customHeight="1">
      <c r="A50" s="17" t="inlineStr">
        <is>
          <t>TRT-0131</t>
        </is>
      </c>
      <c r="B50" s="18" t="inlineStr">
        <is>
          <t>Aurelio Banda</t>
        </is>
      </c>
      <c r="C50" s="36" t="inlineStr">
        <is>
          <t>Marketing Operations Specialist</t>
        </is>
      </c>
      <c r="D50" s="36" t="inlineStr">
        <is>
          <t>Marketing</t>
        </is>
      </c>
      <c r="E50" s="20" t="n">
        <v>76850</v>
      </c>
      <c r="F50" s="36" t="inlineStr">
        <is>
          <t>03NOV2025</t>
        </is>
      </c>
    </row>
    <row r="51" ht="20" customHeight="1">
      <c r="A51" s="21" t="inlineStr">
        <is>
          <t>TRT-0135</t>
        </is>
      </c>
      <c r="B51" s="22" t="inlineStr">
        <is>
          <t>Solveig Okonjo</t>
        </is>
      </c>
      <c r="C51" s="23" t="inlineStr">
        <is>
          <t>Customer Success Manager</t>
        </is>
      </c>
      <c r="D51" s="23" t="inlineStr">
        <is>
          <t>Customer Success</t>
        </is>
      </c>
      <c r="E51" s="24" t="n">
        <v>94600</v>
      </c>
      <c r="F51" s="23" t="inlineStr">
        <is>
          <t>09FEB2026</t>
        </is>
      </c>
    </row>
    <row r="52" ht="20" customHeight="1">
      <c r="A52" s="17" t="inlineStr">
        <is>
          <t>TRT-0141</t>
        </is>
      </c>
      <c r="B52" s="18" t="inlineStr">
        <is>
          <t>Beatriz Quintanilla</t>
        </is>
      </c>
      <c r="C52" s="36" t="inlineStr">
        <is>
          <t>Support Specialist</t>
        </is>
      </c>
      <c r="D52" s="36" t="inlineStr">
        <is>
          <t>Customer Success</t>
        </is>
      </c>
      <c r="E52" s="20" t="n">
        <v>47840</v>
      </c>
      <c r="F52" s="36" t="inlineStr">
        <is>
          <t>04FEB2026</t>
        </is>
      </c>
    </row>
    <row r="53" ht="20" customHeight="1">
      <c r="A53" s="21" t="inlineStr">
        <is>
          <t>CTR-2001</t>
        </is>
      </c>
      <c r="B53" s="22" t="inlineStr">
        <is>
          <t>Henrike Sato</t>
        </is>
      </c>
      <c r="C53" s="23" t="inlineStr">
        <is>
          <t>Contract Data Engineer</t>
        </is>
      </c>
      <c r="D53" s="23" t="inlineStr">
        <is>
          <t>Engineering</t>
        </is>
      </c>
      <c r="E53" s="25" t="inlineStr">
        <is>
          <t>—</t>
        </is>
      </c>
      <c r="F53" s="23" t="inlineStr">
        <is>
          <t>03NOV2025</t>
        </is>
      </c>
    </row>
    <row r="54" ht="20" customHeight="1">
      <c r="A54" s="17" t="inlineStr">
        <is>
          <t>CTR-2002</t>
        </is>
      </c>
      <c r="B54" s="18" t="inlineStr">
        <is>
          <t>Piet Vanterpool</t>
        </is>
      </c>
      <c r="C54" s="36" t="inlineStr">
        <is>
          <t>Contract Backend Engineer</t>
        </is>
      </c>
      <c r="D54" s="36" t="inlineStr">
        <is>
          <t>Engineering</t>
        </is>
      </c>
      <c r="E54" s="26" t="inlineStr">
        <is>
          <t>—</t>
        </is>
      </c>
      <c r="F54" s="36" t="inlineStr">
        <is>
          <t>01DEC2025</t>
        </is>
      </c>
    </row>
    <row r="55" ht="20" customHeight="1">
      <c r="A55" s="21" t="inlineStr">
        <is>
          <t>CTR-2003</t>
        </is>
      </c>
      <c r="B55" s="22" t="inlineStr">
        <is>
          <t>Ines Farahani-Boyd</t>
        </is>
      </c>
      <c r="C55" s="23" t="inlineStr">
        <is>
          <t>Contract Product Designer</t>
        </is>
      </c>
      <c r="D55" s="23" t="inlineStr">
        <is>
          <t>Product</t>
        </is>
      </c>
      <c r="E55" s="25" t="inlineStr">
        <is>
          <t>—</t>
        </is>
      </c>
      <c r="F55" s="23" t="inlineStr">
        <is>
          <t>05JAN2026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 ht="38" customHeight="1">
      <c r="A1" s="27" t="inlineStr">
        <is>
          <t>Compensation Summary (salaried employees)</t>
        </is>
      </c>
    </row>
    <row r="2" ht="3" customHeight="1">
      <c r="A2" s="28" t="n"/>
    </row>
    <row r="3" ht="22" customHeight="1">
      <c r="A3" s="29" t="inlineStr">
        <is>
          <t>Headcount (total rows)</t>
        </is>
      </c>
      <c r="B3" s="30">
        <f>COUNTA(Roster!A2:A55)</f>
        <v>54</v>
      </c>
    </row>
    <row r="4" ht="22" customHeight="1">
      <c r="A4" s="31" t="inlineStr">
        <is>
          <t>Salaried employees</t>
        </is>
      </c>
      <c r="B4" s="32">
        <f>COUNT(Roster!E2:E55)</f>
        <v>51</v>
      </c>
    </row>
    <row r="5" ht="22" customHeight="1">
      <c r="A5" s="29" t="inlineStr">
        <is>
          <t>Contractors (no salary)</t>
        </is>
      </c>
      <c r="B5" s="30">
        <f>B3-B4</f>
        <v>3</v>
      </c>
    </row>
    <row r="6" ht="22" customHeight="1">
      <c r="A6" s="31" t="inlineStr">
        <is>
          <t>Total annual salary</t>
        </is>
      </c>
      <c r="B6" s="33">
        <f>SUM(Roster!E2:E55)</f>
        <v>6050177.0</v>
      </c>
    </row>
    <row r="7" ht="22" customHeight="1">
      <c r="A7" s="29" t="inlineStr">
        <is>
          <t>Average annual salary</t>
        </is>
      </c>
      <c r="B7" s="34">
        <f>AVERAGE(Roster!E2:E55)</f>
        <v>118630.92156862745</v>
      </c>
    </row>
    <row r="8" ht="22" customHeight="1">
      <c r="A8" s="31" t="inlineStr">
        <is>
          <t>Median annual salary</t>
        </is>
      </c>
      <c r="B8" s="33">
        <f>MEDIAN(Roster!E2:E55)</f>
        <v>109300.0</v>
      </c>
    </row>
    <row r="9" ht="22" customHeight="1">
      <c r="A9" s="29" t="inlineStr">
        <is>
          <t>Minimum salary</t>
        </is>
      </c>
      <c r="B9" s="34">
        <f>MIN(Roster!E2:E55)</f>
        <v>47840.0</v>
      </c>
    </row>
    <row r="10" ht="22" customHeight="1">
      <c r="A10" s="31" t="inlineStr">
        <is>
          <t>Maximum salary</t>
        </is>
      </c>
      <c r="B10" s="33">
        <f>MAX(Roster!E2:E55)</f>
        <v>215000.0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2026-04-30T00:00:00Z</dcterms:created>
  <dcterms:modified xmlns:dcterms="http://purl.org/dc/terms/" xmlns:xsi="http://www.w3.org/2001/XMLSchema-instance" xsi:type="dcterms:W3CDTF">2026-09-17T06:37:45Z</dcterms:modified>
  <dc:creator xmlns:dc="http://purl.org/dc/elements/1.1/">Grayson Oshimoto</dc:creator>
  <cp:lastModifiedBy>Grayson Oshimoto</cp:lastModifiedBy>
</cp:coreProperties>
</file>