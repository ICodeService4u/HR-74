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>
    <definedName name="_xlnm.Print_Titles" localSheetId="0">'Payroll Register'!$12:$12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7">
    <font>
      <name val="Helvetica Neue"/>
      <family val="2"/>
      <color rgb="FF1F2937"/>
      <sz val="11"/>
    </font>
    <font>
      <name val="Helvetica Neue"/>
      <family val="2"/>
      <b val="1"/>
      <color rgb="FF0F2A1D"/>
      <sz val="22"/>
    </font>
    <font>
      <name val="Helvetica Neue"/>
      <family val="2"/>
      <b val="1"/>
      <color rgb="FF6B7280"/>
      <sz val="10"/>
    </font>
    <font>
      <name val="Helvetica Neue"/>
      <family val="2"/>
      <color rgb="FF1F2937"/>
      <sz val="10"/>
    </font>
    <font>
      <name val="Helvetica Neue"/>
      <family val="2"/>
      <b val="1"/>
      <color rgb="FFFFFFFF"/>
      <sz val="10"/>
    </font>
    <font>
      <name val="Helvetica Neue"/>
      <family val="2"/>
      <color rgb="FF1F2937"/>
      <sz val="10"/>
    </font>
    <font>
      <name val="Helvetica Neue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F2A1D"/>
        <bgColor indexed="64"/>
      </patternFill>
    </fill>
    <fill>
      <patternFill patternType="solid">
        <fgColor rgb="FFF7F4EE"/>
        <bgColor indexed="64"/>
      </patternFill>
    </fill>
    <fill>
      <patternFill patternType="solid">
        <fgColor rgb="FF0F2A1D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08D57"/>
      </top>
      <bottom style="medium">
        <color rgb="FFB08D57"/>
      </bottom>
      <diagonal/>
    </border>
    <border>
      <left/>
      <right/>
      <top/>
      <bottom style="thin">
        <color rgb="FFE5E0D6"/>
      </bottom>
      <diagonal/>
    </border>
    <border>
      <left/>
      <right/>
      <top style="medium">
        <color rgb="FFB08D57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8"/>
  <cols>
    <col width="15" customWidth="1" min="1" max="1"/>
    <col width="33" customWidth="1" min="2" max="2"/>
    <col width="25" customWidth="1" min="3" max="3"/>
    <col width="16" customWidth="1" min="4" max="4"/>
    <col width="12" customWidth="1" min="5" max="5"/>
    <col width="17" customWidth="1" min="6" max="6"/>
    <col width="19" customWidth="1" min="7" max="7"/>
    <col width="16" customWidth="1" min="8" max="8"/>
    <col width="17" customWidth="1" min="9" max="9"/>
  </cols>
  <sheetData>
    <row r="1" ht="40" customHeight="1">
      <c r="A1" s="1" t="inlineStr">
        <is>
          <t>PAYROLL REGISTER</t>
        </is>
      </c>
    </row>
    <row r="2"/>
    <row r="3">
      <c r="A3" s="2" t="inlineStr">
        <is>
          <t>Company:</t>
        </is>
      </c>
      <c r="B3" s="3" t="inlineStr">
        <is>
          <t>Troutly Analytics, Inc.</t>
        </is>
      </c>
    </row>
    <row r="4">
      <c r="A4" s="2" t="inlineStr">
        <is>
          <t>Pay Frequency:</t>
        </is>
      </c>
      <c r="B4" s="3" t="inlineStr">
        <is>
          <t>Semi-Monthly</t>
        </is>
      </c>
    </row>
    <row r="5">
      <c r="A5" s="2" t="inlineStr">
        <is>
          <t>Pay Period:</t>
        </is>
      </c>
      <c r="B5" s="3" t="inlineStr">
        <is>
          <t>06/16/2026 – 06/30/2026</t>
        </is>
      </c>
    </row>
    <row r="6">
      <c r="A6" s="2" t="inlineStr">
        <is>
          <t>Check Date:</t>
        </is>
      </c>
      <c r="B6" s="3" t="inlineStr">
        <is>
          <t>06/30/2026</t>
        </is>
      </c>
    </row>
    <row r="7">
      <c r="A7" s="2" t="inlineStr">
        <is>
          <t>Prepared By:</t>
        </is>
      </c>
      <c r="B7" s="3" t="inlineStr">
        <is>
          <t>Krystale Jumawan, Finance Manager</t>
        </is>
      </c>
    </row>
    <row r="8">
      <c r="A8" s="2" t="inlineStr">
        <is>
          <t>Source System:</t>
        </is>
      </c>
      <c r="B8" s="3" t="inlineStr">
        <is>
          <t>SplinterHR</t>
        </is>
      </c>
    </row>
    <row r="9">
      <c r="A9" s="2" t="inlineStr">
        <is>
          <t>Run Type:</t>
        </is>
      </c>
      <c r="B9" s="3" t="inlineStr">
        <is>
          <t>Final Semi-Monthly Payroll</t>
        </is>
      </c>
    </row>
    <row r="10"/>
    <row r="11"/>
    <row r="12" ht="28" customHeight="1">
      <c r="A12" s="4" t="inlineStr">
        <is>
          <t>Employee #</t>
        </is>
      </c>
      <c r="B12" s="4" t="inlineStr">
        <is>
          <t>Name</t>
        </is>
      </c>
      <c r="C12" s="4" t="inlineStr">
        <is>
          <t>Department</t>
        </is>
      </c>
      <c r="D12" s="4" t="inlineStr">
        <is>
          <t>Pay Rate</t>
        </is>
      </c>
      <c r="E12" s="4" t="inlineStr">
        <is>
          <t>Basis</t>
        </is>
      </c>
      <c r="F12" s="4" t="inlineStr">
        <is>
          <t>Gross Pay</t>
        </is>
      </c>
      <c r="G12" s="4" t="inlineStr">
        <is>
          <t>Employer Taxes</t>
        </is>
      </c>
      <c r="H12" s="4" t="inlineStr">
        <is>
          <t>Deductions</t>
        </is>
      </c>
      <c r="I12" s="4" t="inlineStr">
        <is>
          <t>Net Pay</t>
        </is>
      </c>
    </row>
    <row r="13">
      <c r="A13" s="5" t="inlineStr">
        <is>
          <t>TRT-0001</t>
        </is>
      </c>
      <c r="B13" s="6" t="inlineStr">
        <is>
          <t>Michael Labeson</t>
        </is>
      </c>
      <c r="C13" s="6" t="inlineStr">
        <is>
          <t>Finance and Corporate</t>
        </is>
      </c>
      <c r="D13" s="7" t="n">
        <v>215000</v>
      </c>
      <c r="E13" s="5" t="inlineStr">
        <is>
          <t>Salary</t>
        </is>
      </c>
      <c r="F13" s="7" t="n">
        <v>8958.33</v>
      </c>
      <c r="G13" s="7" t="n">
        <v>774.9</v>
      </c>
      <c r="H13" s="7" t="n">
        <v>2224.06</v>
      </c>
      <c r="I13" s="7" t="n">
        <v>6734.27</v>
      </c>
    </row>
    <row r="14">
      <c r="A14" s="8" t="inlineStr">
        <is>
          <t>TRT-0002</t>
        </is>
      </c>
      <c r="B14" s="9" t="inlineStr">
        <is>
          <t>Sora Jackson</t>
        </is>
      </c>
      <c r="C14" s="9" t="inlineStr">
        <is>
          <t>Engineering</t>
        </is>
      </c>
      <c r="D14" s="10" t="n">
        <v>205000</v>
      </c>
      <c r="E14" s="8" t="inlineStr">
        <is>
          <t>Salary</t>
        </is>
      </c>
      <c r="F14" s="10" t="n">
        <v>8541.67</v>
      </c>
      <c r="G14" s="10" t="n">
        <v>738.85</v>
      </c>
      <c r="H14" s="10" t="n">
        <v>2109.69</v>
      </c>
      <c r="I14" s="10" t="n">
        <v>6431.98</v>
      </c>
    </row>
    <row r="15">
      <c r="A15" s="5" t="inlineStr">
        <is>
          <t>TRT-0005</t>
        </is>
      </c>
      <c r="B15" s="6" t="inlineStr">
        <is>
          <t>Mikelle Hosana</t>
        </is>
      </c>
      <c r="C15" s="6" t="inlineStr">
        <is>
          <t>Engineering</t>
        </is>
      </c>
      <c r="D15" s="7" t="n">
        <v>187510</v>
      </c>
      <c r="E15" s="5" t="inlineStr">
        <is>
          <t>Salary</t>
        </is>
      </c>
      <c r="F15" s="7" t="n">
        <v>7812.92</v>
      </c>
      <c r="G15" s="7" t="n">
        <v>675.8200000000001</v>
      </c>
      <c r="H15" s="7" t="n">
        <v>1964.63</v>
      </c>
      <c r="I15" s="7" t="n">
        <v>5848.29</v>
      </c>
    </row>
    <row r="16">
      <c r="A16" s="8" t="inlineStr">
        <is>
          <t>TRT-0006</t>
        </is>
      </c>
      <c r="B16" s="9" t="inlineStr">
        <is>
          <t>Grayson Oshimoto</t>
        </is>
      </c>
      <c r="C16" s="9" t="inlineStr">
        <is>
          <t>Finance and Corporate</t>
        </is>
      </c>
      <c r="D16" s="10" t="n">
        <v>80600</v>
      </c>
      <c r="E16" s="8" t="inlineStr">
        <is>
          <t>Salary</t>
        </is>
      </c>
      <c r="F16" s="10" t="n">
        <v>3358.33</v>
      </c>
      <c r="G16" s="10" t="n">
        <v>290.5</v>
      </c>
      <c r="H16" s="10" t="n">
        <v>885.66</v>
      </c>
      <c r="I16" s="10" t="n">
        <v>2472.67</v>
      </c>
    </row>
    <row r="17">
      <c r="A17" s="5" t="inlineStr">
        <is>
          <t>TRT-0009</t>
        </is>
      </c>
      <c r="B17" s="6" t="inlineStr">
        <is>
          <t>Krystale Jumawan</t>
        </is>
      </c>
      <c r="C17" s="6" t="inlineStr">
        <is>
          <t>Finance and Corporate</t>
        </is>
      </c>
      <c r="D17" s="7" t="n">
        <v>138700</v>
      </c>
      <c r="E17" s="5" t="inlineStr">
        <is>
          <t>Salary</t>
        </is>
      </c>
      <c r="F17" s="7" t="n">
        <v>5779.17</v>
      </c>
      <c r="G17" s="7" t="n">
        <v>499.9</v>
      </c>
      <c r="H17" s="7" t="n">
        <v>1483.98</v>
      </c>
      <c r="I17" s="7" t="n">
        <v>4295.19</v>
      </c>
    </row>
    <row r="18">
      <c r="A18" s="8" t="inlineStr">
        <is>
          <t>TRT-0012</t>
        </is>
      </c>
      <c r="B18" s="9" t="inlineStr">
        <is>
          <t>Jessica Ko</t>
        </is>
      </c>
      <c r="C18" s="9" t="inlineStr">
        <is>
          <t>Engineering</t>
        </is>
      </c>
      <c r="D18" s="10" t="n">
        <v>176400</v>
      </c>
      <c r="E18" s="8" t="inlineStr">
        <is>
          <t>Salary</t>
        </is>
      </c>
      <c r="F18" s="10" t="n">
        <v>7350</v>
      </c>
      <c r="G18" s="10" t="n">
        <v>635.78</v>
      </c>
      <c r="H18" s="10" t="n">
        <v>1689.78</v>
      </c>
      <c r="I18" s="10" t="n">
        <v>5660.22</v>
      </c>
    </row>
    <row r="19">
      <c r="A19" s="5" t="inlineStr">
        <is>
          <t>TRT-0014</t>
        </is>
      </c>
      <c r="B19" s="6" t="inlineStr">
        <is>
          <t>Rohan Iyer</t>
        </is>
      </c>
      <c r="C19" s="6" t="inlineStr">
        <is>
          <t>Engineering</t>
        </is>
      </c>
      <c r="D19" s="7" t="n">
        <v>156700</v>
      </c>
      <c r="E19" s="5" t="inlineStr">
        <is>
          <t>Salary</t>
        </is>
      </c>
      <c r="F19" s="7" t="n">
        <v>6529.17</v>
      </c>
      <c r="G19" s="7" t="n">
        <v>564.77</v>
      </c>
      <c r="H19" s="7" t="n">
        <v>1603.86</v>
      </c>
      <c r="I19" s="7" t="n">
        <v>4925.31</v>
      </c>
    </row>
    <row r="20">
      <c r="A20" s="8" t="inlineStr">
        <is>
          <t>TRT-0018</t>
        </is>
      </c>
      <c r="B20" s="9" t="inlineStr">
        <is>
          <t>Marisela Thornbury</t>
        </is>
      </c>
      <c r="C20" s="9" t="inlineStr">
        <is>
          <t>Sales</t>
        </is>
      </c>
      <c r="D20" s="10" t="n">
        <v>173300</v>
      </c>
      <c r="E20" s="8" t="inlineStr">
        <is>
          <t>Salary</t>
        </is>
      </c>
      <c r="F20" s="10" t="n">
        <v>7220.83</v>
      </c>
      <c r="G20" s="10" t="n">
        <v>624.6</v>
      </c>
      <c r="H20" s="10" t="n">
        <v>1810.52</v>
      </c>
      <c r="I20" s="10" t="n">
        <v>5410.31</v>
      </c>
    </row>
    <row r="21">
      <c r="A21" s="5" t="inlineStr">
        <is>
          <t>TRT-0021</t>
        </is>
      </c>
      <c r="B21" s="6" t="inlineStr">
        <is>
          <t>Edith Bustamante</t>
        </is>
      </c>
      <c r="C21" s="6" t="inlineStr">
        <is>
          <t>Customer Success</t>
        </is>
      </c>
      <c r="D21" s="7" t="n">
        <v>121300</v>
      </c>
      <c r="E21" s="5" t="inlineStr">
        <is>
          <t>Salary</t>
        </is>
      </c>
      <c r="F21" s="7" t="n">
        <v>5054.17</v>
      </c>
      <c r="G21" s="7" t="n">
        <v>437.19</v>
      </c>
      <c r="H21" s="7" t="n">
        <v>1304.77</v>
      </c>
      <c r="I21" s="7" t="n">
        <v>3749.4</v>
      </c>
    </row>
    <row r="22">
      <c r="A22" s="8" t="inlineStr">
        <is>
          <t>TRT-0023</t>
        </is>
      </c>
      <c r="B22" s="9" t="inlineStr">
        <is>
          <t>Maeve Oyinlola</t>
        </is>
      </c>
      <c r="C22" s="9" t="inlineStr">
        <is>
          <t>Engineering</t>
        </is>
      </c>
      <c r="D22" s="10" t="n">
        <v>154900</v>
      </c>
      <c r="E22" s="8" t="inlineStr">
        <is>
          <t>Salary</t>
        </is>
      </c>
      <c r="F22" s="10" t="n">
        <v>6454.17</v>
      </c>
      <c r="G22" s="10" t="n">
        <v>558.29</v>
      </c>
      <c r="H22" s="10" t="n">
        <v>1586.87</v>
      </c>
      <c r="I22" s="10" t="n">
        <v>4867.3</v>
      </c>
    </row>
    <row r="23">
      <c r="A23" s="5" t="inlineStr">
        <is>
          <t>TRT-0027</t>
        </is>
      </c>
      <c r="B23" s="6" t="inlineStr">
        <is>
          <t>Kenji Abubakar</t>
        </is>
      </c>
      <c r="C23" s="6" t="inlineStr">
        <is>
          <t>Marketing</t>
        </is>
      </c>
      <c r="D23" s="7" t="n">
        <v>157600</v>
      </c>
      <c r="E23" s="5" t="inlineStr">
        <is>
          <t>Salary</t>
        </is>
      </c>
      <c r="F23" s="7" t="n">
        <v>6566.67</v>
      </c>
      <c r="G23" s="7" t="n">
        <v>568.02</v>
      </c>
      <c r="H23" s="7" t="n">
        <v>1682.35</v>
      </c>
      <c r="I23" s="7" t="n">
        <v>4884.32</v>
      </c>
    </row>
    <row r="24">
      <c r="A24" s="8" t="inlineStr">
        <is>
          <t>TRT-0029</t>
        </is>
      </c>
      <c r="B24" s="9" t="inlineStr">
        <is>
          <t>Emeka Thorsen</t>
        </is>
      </c>
      <c r="C24" s="9" t="inlineStr">
        <is>
          <t>Sales</t>
        </is>
      </c>
      <c r="D24" s="10" t="n">
        <v>101400</v>
      </c>
      <c r="E24" s="8" t="inlineStr">
        <is>
          <t>Salary</t>
        </is>
      </c>
      <c r="F24" s="10" t="n">
        <v>4225</v>
      </c>
      <c r="G24" s="10" t="n">
        <v>365.46</v>
      </c>
      <c r="H24" s="10" t="n">
        <v>981.96</v>
      </c>
      <c r="I24" s="10" t="n">
        <v>3243.04</v>
      </c>
    </row>
    <row r="25">
      <c r="A25" s="5" t="inlineStr">
        <is>
          <t>TRT-0031</t>
        </is>
      </c>
      <c r="B25" s="6" t="inlineStr">
        <is>
          <t>Zephyr Adebayo</t>
        </is>
      </c>
      <c r="C25" s="6" t="inlineStr">
        <is>
          <t>Engineering</t>
        </is>
      </c>
      <c r="D25" s="7" t="n">
        <v>161200</v>
      </c>
      <c r="E25" s="5" t="inlineStr">
        <is>
          <t>Salary</t>
        </is>
      </c>
      <c r="F25" s="7" t="n">
        <v>6716.67</v>
      </c>
      <c r="G25" s="7" t="n">
        <v>581.09</v>
      </c>
      <c r="H25" s="7" t="n">
        <v>1646.32</v>
      </c>
      <c r="I25" s="7" t="n">
        <v>5070.35</v>
      </c>
    </row>
    <row r="26">
      <c r="A26" s="8" t="inlineStr">
        <is>
          <t>TRT-0034</t>
        </is>
      </c>
      <c r="B26" s="9" t="inlineStr">
        <is>
          <t>Luka Odum</t>
        </is>
      </c>
      <c r="C26" s="9" t="inlineStr">
        <is>
          <t>Finance and Corporate</t>
        </is>
      </c>
      <c r="D26" s="10" t="n">
        <v>84600</v>
      </c>
      <c r="E26" s="8" t="inlineStr">
        <is>
          <t>Salary</t>
        </is>
      </c>
      <c r="F26" s="10" t="n">
        <v>3525</v>
      </c>
      <c r="G26" s="10" t="n">
        <v>304.91</v>
      </c>
      <c r="H26" s="10" t="n">
        <v>923.41</v>
      </c>
      <c r="I26" s="10" t="n">
        <v>2601.59</v>
      </c>
    </row>
    <row r="27">
      <c r="A27" s="5" t="inlineStr">
        <is>
          <t>TRT-0037</t>
        </is>
      </c>
      <c r="B27" s="6" t="inlineStr">
        <is>
          <t>Piper Athanasoulis</t>
        </is>
      </c>
      <c r="C27" s="6" t="inlineStr">
        <is>
          <t>Sales</t>
        </is>
      </c>
      <c r="D27" s="7" t="n">
        <v>68900</v>
      </c>
      <c r="E27" s="5" t="inlineStr">
        <is>
          <t>Salary</t>
        </is>
      </c>
      <c r="F27" s="7" t="n">
        <v>2870.83</v>
      </c>
      <c r="G27" s="7" t="n">
        <v>248.33</v>
      </c>
      <c r="H27" s="7" t="n">
        <v>775.24</v>
      </c>
      <c r="I27" s="7" t="n">
        <v>2095.59</v>
      </c>
    </row>
    <row r="28">
      <c r="A28" s="8" t="inlineStr">
        <is>
          <t>TRT-0040</t>
        </is>
      </c>
      <c r="B28" s="9" t="inlineStr">
        <is>
          <t>Ilse Van der Kolk</t>
        </is>
      </c>
      <c r="C28" s="9" t="inlineStr">
        <is>
          <t>Product</t>
        </is>
      </c>
      <c r="D28" s="10" t="n">
        <v>176400</v>
      </c>
      <c r="E28" s="8" t="inlineStr">
        <is>
          <t>Salary</t>
        </is>
      </c>
      <c r="F28" s="10" t="n">
        <v>7350</v>
      </c>
      <c r="G28" s="10" t="n">
        <v>635.78</v>
      </c>
      <c r="H28" s="10" t="n">
        <v>1839.78</v>
      </c>
      <c r="I28" s="10" t="n">
        <v>5510.22</v>
      </c>
    </row>
    <row r="29">
      <c r="A29" s="5" t="inlineStr">
        <is>
          <t>TRT-0043</t>
        </is>
      </c>
      <c r="B29" s="6" t="inlineStr">
        <is>
          <t>Oren Kastellanos</t>
        </is>
      </c>
      <c r="C29" s="6" t="inlineStr">
        <is>
          <t>Sales</t>
        </is>
      </c>
      <c r="D29" s="7" t="n">
        <v>97350</v>
      </c>
      <c r="E29" s="5" t="inlineStr">
        <is>
          <t>Salary</t>
        </is>
      </c>
      <c r="F29" s="7" t="n">
        <v>4056.25</v>
      </c>
      <c r="G29" s="7" t="n">
        <v>350.87</v>
      </c>
      <c r="H29" s="7" t="n">
        <v>1043.74</v>
      </c>
      <c r="I29" s="7" t="n">
        <v>3012.51</v>
      </c>
    </row>
    <row r="30">
      <c r="A30" s="8" t="inlineStr">
        <is>
          <t>TRT-0045</t>
        </is>
      </c>
      <c r="B30" s="9" t="inlineStr">
        <is>
          <t>Thaddeus Ilunga</t>
        </is>
      </c>
      <c r="C30" s="9" t="inlineStr">
        <is>
          <t>Customer Success</t>
        </is>
      </c>
      <c r="D30" s="10" t="n">
        <v>100800</v>
      </c>
      <c r="E30" s="8" t="inlineStr">
        <is>
          <t>Salary</t>
        </is>
      </c>
      <c r="F30" s="10" t="n">
        <v>4200</v>
      </c>
      <c r="G30" s="10" t="n">
        <v>363.3</v>
      </c>
      <c r="H30" s="10" t="n">
        <v>1076.3</v>
      </c>
      <c r="I30" s="10" t="n">
        <v>3123.7</v>
      </c>
    </row>
    <row r="31">
      <c r="A31" s="5" t="inlineStr">
        <is>
          <t>TRT-0047</t>
        </is>
      </c>
      <c r="B31" s="6" t="inlineStr">
        <is>
          <t>Sunniva Mbeki</t>
        </is>
      </c>
      <c r="C31" s="6" t="inlineStr">
        <is>
          <t>Engineering</t>
        </is>
      </c>
      <c r="D31" s="7" t="n">
        <v>132300</v>
      </c>
      <c r="E31" s="5" t="inlineStr">
        <is>
          <t>Salary</t>
        </is>
      </c>
      <c r="F31" s="7" t="n">
        <v>5512.5</v>
      </c>
      <c r="G31" s="7" t="n">
        <v>476.83</v>
      </c>
      <c r="H31" s="7" t="n">
        <v>1408.58</v>
      </c>
      <c r="I31" s="7" t="n">
        <v>4103.92</v>
      </c>
    </row>
    <row r="32">
      <c r="A32" s="8" t="inlineStr">
        <is>
          <t>TRT-0049</t>
        </is>
      </c>
      <c r="B32" s="9" t="inlineStr">
        <is>
          <t>Halston Perevalov</t>
        </is>
      </c>
      <c r="C32" s="9" t="inlineStr">
        <is>
          <t>Sales</t>
        </is>
      </c>
      <c r="D32" s="10" t="n">
        <v>74250</v>
      </c>
      <c r="E32" s="8" t="inlineStr">
        <is>
          <t>Salary</t>
        </is>
      </c>
      <c r="F32" s="10" t="n">
        <v>3093.75</v>
      </c>
      <c r="G32" s="10" t="n">
        <v>267.61</v>
      </c>
      <c r="H32" s="10" t="n">
        <v>825.73</v>
      </c>
      <c r="I32" s="10" t="n">
        <v>2268.02</v>
      </c>
    </row>
    <row r="33">
      <c r="A33" s="5" t="inlineStr">
        <is>
          <t>TRT-0051</t>
        </is>
      </c>
      <c r="B33" s="6" t="inlineStr">
        <is>
          <t>Priyamvada Raghunath</t>
        </is>
      </c>
      <c r="C33" s="6" t="inlineStr">
        <is>
          <t>Engineering</t>
        </is>
      </c>
      <c r="D33" s="7" t="n">
        <v>129800</v>
      </c>
      <c r="E33" s="5" t="inlineStr">
        <is>
          <t>Salary</t>
        </is>
      </c>
      <c r="F33" s="7" t="n">
        <v>5408.33</v>
      </c>
      <c r="G33" s="7" t="n">
        <v>467.82</v>
      </c>
      <c r="H33" s="7" t="n">
        <v>1349.99</v>
      </c>
      <c r="I33" s="7" t="n">
        <v>4058.34</v>
      </c>
    </row>
    <row r="34">
      <c r="A34" s="8" t="inlineStr">
        <is>
          <t>TRT-0052</t>
        </is>
      </c>
      <c r="B34" s="9" t="inlineStr">
        <is>
          <t>Persephone Adeyinka</t>
        </is>
      </c>
      <c r="C34" s="9" t="inlineStr">
        <is>
          <t>Marketing</t>
        </is>
      </c>
      <c r="D34" s="10" t="n">
        <v>103700</v>
      </c>
      <c r="E34" s="8" t="inlineStr">
        <is>
          <t>Salary</t>
        </is>
      </c>
      <c r="F34" s="10" t="n">
        <v>4320.83</v>
      </c>
      <c r="G34" s="10" t="n">
        <v>373.75</v>
      </c>
      <c r="H34" s="10" t="n">
        <v>1103.67</v>
      </c>
      <c r="I34" s="10" t="n">
        <v>3217.16</v>
      </c>
    </row>
    <row r="35">
      <c r="A35" s="5" t="inlineStr">
        <is>
          <t>TRT-0055</t>
        </is>
      </c>
      <c r="B35" s="6" t="inlineStr">
        <is>
          <t>Ignatius Werahiko</t>
        </is>
      </c>
      <c r="C35" s="6" t="inlineStr">
        <is>
          <t>Engineering</t>
        </is>
      </c>
      <c r="D35" s="7" t="n">
        <v>130450</v>
      </c>
      <c r="E35" s="5" t="inlineStr">
        <is>
          <t>Salary</t>
        </is>
      </c>
      <c r="F35" s="7" t="n">
        <v>5435.42</v>
      </c>
      <c r="G35" s="7" t="n">
        <v>470.16</v>
      </c>
      <c r="H35" s="7" t="n">
        <v>1356.12</v>
      </c>
      <c r="I35" s="7" t="n">
        <v>4079.3</v>
      </c>
    </row>
    <row r="36">
      <c r="A36" s="8" t="inlineStr">
        <is>
          <t>TRT-0058</t>
        </is>
      </c>
      <c r="B36" s="9" t="inlineStr">
        <is>
          <t>Callum Oyelaran</t>
        </is>
      </c>
      <c r="C36" s="9" t="inlineStr">
        <is>
          <t>Sales</t>
        </is>
      </c>
      <c r="D36" s="10" t="n">
        <v>94750</v>
      </c>
      <c r="E36" s="8" t="inlineStr">
        <is>
          <t>Salary</t>
        </is>
      </c>
      <c r="F36" s="10" t="n">
        <v>3947.92</v>
      </c>
      <c r="G36" s="10" t="n">
        <v>341.49</v>
      </c>
      <c r="H36" s="10" t="n">
        <v>1019.2</v>
      </c>
      <c r="I36" s="10" t="n">
        <v>2928.72</v>
      </c>
    </row>
    <row r="37">
      <c r="A37" s="5" t="inlineStr">
        <is>
          <t>TRT-0062</t>
        </is>
      </c>
      <c r="B37" s="6" t="inlineStr">
        <is>
          <t>Tina Jung</t>
        </is>
      </c>
      <c r="C37" s="6" t="inlineStr">
        <is>
          <t>Engineering</t>
        </is>
      </c>
      <c r="D37" s="7" t="n">
        <v>152600</v>
      </c>
      <c r="E37" s="5" t="inlineStr">
        <is>
          <t>Salary</t>
        </is>
      </c>
      <c r="F37" s="7" t="n">
        <v>6358.33</v>
      </c>
      <c r="G37" s="7" t="n">
        <v>549.99</v>
      </c>
      <c r="H37" s="7" t="n">
        <v>1565.16</v>
      </c>
      <c r="I37" s="7" t="n">
        <v>4793.17</v>
      </c>
    </row>
    <row r="38">
      <c r="A38" s="8" t="inlineStr">
        <is>
          <t>TRT-0064</t>
        </is>
      </c>
      <c r="B38" s="9" t="inlineStr">
        <is>
          <t>Marguerite Delacroix-Hahn</t>
        </is>
      </c>
      <c r="C38" s="9" t="inlineStr">
        <is>
          <t>Customer Success</t>
        </is>
      </c>
      <c r="D38" s="10" t="n">
        <v>71377</v>
      </c>
      <c r="E38" s="8" t="inlineStr">
        <is>
          <t>Salary</t>
        </is>
      </c>
      <c r="F38" s="10" t="n">
        <v>2974.04</v>
      </c>
      <c r="G38" s="10" t="n">
        <v>257.25</v>
      </c>
      <c r="H38" s="10" t="n">
        <v>798.87</v>
      </c>
      <c r="I38" s="10" t="n">
        <v>2175.17</v>
      </c>
    </row>
    <row r="39">
      <c r="A39" s="5" t="inlineStr">
        <is>
          <t>TRT-0066</t>
        </is>
      </c>
      <c r="B39" s="6" t="inlineStr">
        <is>
          <t>Tomasz Ekwueme</t>
        </is>
      </c>
      <c r="C39" s="6" t="inlineStr">
        <is>
          <t>Engineering</t>
        </is>
      </c>
      <c r="D39" s="7" t="n">
        <v>179800</v>
      </c>
      <c r="E39" s="5" t="inlineStr">
        <is>
          <t>Salary</t>
        </is>
      </c>
      <c r="F39" s="7" t="n">
        <v>7491.67</v>
      </c>
      <c r="G39" s="7" t="n">
        <v>648.03</v>
      </c>
      <c r="H39" s="7" t="n">
        <v>1871.86</v>
      </c>
      <c r="I39" s="7" t="n">
        <v>5619.81</v>
      </c>
    </row>
    <row r="40">
      <c r="A40" s="8" t="inlineStr">
        <is>
          <t>TRT-0069</t>
        </is>
      </c>
      <c r="B40" s="9" t="inlineStr">
        <is>
          <t>Xiomara Bekele</t>
        </is>
      </c>
      <c r="C40" s="9" t="inlineStr">
        <is>
          <t>Customer Success</t>
        </is>
      </c>
      <c r="D40" s="10" t="n">
        <v>99300</v>
      </c>
      <c r="E40" s="8" t="inlineStr">
        <is>
          <t>Salary</t>
        </is>
      </c>
      <c r="F40" s="10" t="n">
        <v>4137.5</v>
      </c>
      <c r="G40" s="10" t="n">
        <v>357.89</v>
      </c>
      <c r="H40" s="10" t="n">
        <v>1062.14</v>
      </c>
      <c r="I40" s="10" t="n">
        <v>3075.36</v>
      </c>
    </row>
    <row r="41">
      <c r="A41" s="5" t="inlineStr">
        <is>
          <t>TRT-0071</t>
        </is>
      </c>
      <c r="B41" s="6" t="inlineStr">
        <is>
          <t>Samuel Burkenham</t>
        </is>
      </c>
      <c r="C41" s="6" t="inlineStr">
        <is>
          <t>Product</t>
        </is>
      </c>
      <c r="D41" s="7" t="n">
        <v>81000</v>
      </c>
      <c r="E41" s="5" t="inlineStr">
        <is>
          <t>Salary</t>
        </is>
      </c>
      <c r="F41" s="7" t="n">
        <v>3375</v>
      </c>
      <c r="G41" s="7" t="n">
        <v>291.94</v>
      </c>
      <c r="H41" s="7" t="n">
        <v>889.4400000000001</v>
      </c>
      <c r="I41" s="7" t="n">
        <v>2485.56</v>
      </c>
    </row>
    <row r="42">
      <c r="A42" s="8" t="inlineStr">
        <is>
          <t>TRT-0074</t>
        </is>
      </c>
      <c r="B42" s="9" t="inlineStr">
        <is>
          <t>Cassius Oyelowo</t>
        </is>
      </c>
      <c r="C42" s="9" t="inlineStr">
        <is>
          <t>Engineering</t>
        </is>
      </c>
      <c r="D42" s="10" t="n">
        <v>111800</v>
      </c>
      <c r="E42" s="8" t="inlineStr">
        <is>
          <t>Salary</t>
        </is>
      </c>
      <c r="F42" s="10" t="n">
        <v>4658.33</v>
      </c>
      <c r="G42" s="10" t="n">
        <v>402.95</v>
      </c>
      <c r="H42" s="10" t="n">
        <v>1080.11</v>
      </c>
      <c r="I42" s="10" t="n">
        <v>3578.22</v>
      </c>
    </row>
    <row r="43">
      <c r="A43" s="5" t="inlineStr">
        <is>
          <t>TRT-0076</t>
        </is>
      </c>
      <c r="B43" s="6" t="inlineStr">
        <is>
          <t>Nikolai Oyeleke</t>
        </is>
      </c>
      <c r="C43" s="6" t="inlineStr">
        <is>
          <t>Product</t>
        </is>
      </c>
      <c r="D43" s="7" t="n">
        <v>151900</v>
      </c>
      <c r="E43" s="5" t="inlineStr">
        <is>
          <t>Salary</t>
        </is>
      </c>
      <c r="F43" s="7" t="n">
        <v>6329.17</v>
      </c>
      <c r="G43" s="7" t="n">
        <v>547.47</v>
      </c>
      <c r="H43" s="7" t="n">
        <v>1558.56</v>
      </c>
      <c r="I43" s="7" t="n">
        <v>4770.61</v>
      </c>
    </row>
    <row r="44">
      <c r="A44" s="8" t="inlineStr">
        <is>
          <t>TRT-0079</t>
        </is>
      </c>
      <c r="B44" s="9" t="inlineStr">
        <is>
          <t>Wren Takahashi-Bell</t>
        </is>
      </c>
      <c r="C44" s="9" t="inlineStr">
        <is>
          <t>Product</t>
        </is>
      </c>
      <c r="D44" s="10" t="n">
        <v>119600</v>
      </c>
      <c r="E44" s="8" t="inlineStr">
        <is>
          <t>Salary</t>
        </is>
      </c>
      <c r="F44" s="10" t="n">
        <v>4983.33</v>
      </c>
      <c r="G44" s="10" t="n">
        <v>431.06</v>
      </c>
      <c r="H44" s="10" t="n">
        <v>1253.72</v>
      </c>
      <c r="I44" s="10" t="n">
        <v>3729.61</v>
      </c>
    </row>
    <row r="45">
      <c r="A45" s="5" t="inlineStr">
        <is>
          <t>TRT-0083</t>
        </is>
      </c>
      <c r="B45" s="6" t="inlineStr">
        <is>
          <t>Desmond Achterberg</t>
        </is>
      </c>
      <c r="C45" s="6" t="inlineStr">
        <is>
          <t>Customer Success</t>
        </is>
      </c>
      <c r="D45" s="7" t="n">
        <v>93100</v>
      </c>
      <c r="E45" s="5" t="inlineStr">
        <is>
          <t>Salary</t>
        </is>
      </c>
      <c r="F45" s="7" t="n">
        <v>3879.17</v>
      </c>
      <c r="G45" s="7" t="n">
        <v>335.55</v>
      </c>
      <c r="H45" s="7" t="n">
        <v>1003.63</v>
      </c>
      <c r="I45" s="7" t="n">
        <v>2875.54</v>
      </c>
    </row>
    <row r="46">
      <c r="A46" s="8" t="inlineStr">
        <is>
          <t>TRT-0086</t>
        </is>
      </c>
      <c r="B46" s="9" t="inlineStr">
        <is>
          <t>Rosalind Munro</t>
        </is>
      </c>
      <c r="C46" s="9" t="inlineStr">
        <is>
          <t>Sales</t>
        </is>
      </c>
      <c r="D46" s="10" t="n">
        <v>63750</v>
      </c>
      <c r="E46" s="8" t="inlineStr">
        <is>
          <t>Salary</t>
        </is>
      </c>
      <c r="F46" s="10" t="n">
        <v>2656.25</v>
      </c>
      <c r="G46" s="10" t="n">
        <v>229.77</v>
      </c>
      <c r="H46" s="10" t="n">
        <v>726.64</v>
      </c>
      <c r="I46" s="10" t="n">
        <v>1929.61</v>
      </c>
    </row>
    <row r="47">
      <c r="A47" s="5" t="inlineStr">
        <is>
          <t>TRT-0088</t>
        </is>
      </c>
      <c r="B47" s="6" t="inlineStr">
        <is>
          <t>Yolanda Featherstone</t>
        </is>
      </c>
      <c r="C47" s="6" t="inlineStr">
        <is>
          <t>Customer Success</t>
        </is>
      </c>
      <c r="D47" s="7" t="n">
        <v>104000</v>
      </c>
      <c r="E47" s="5" t="inlineStr">
        <is>
          <t>Salary</t>
        </is>
      </c>
      <c r="F47" s="7" t="n">
        <v>4333.33</v>
      </c>
      <c r="G47" s="7" t="n">
        <v>374.83</v>
      </c>
      <c r="H47" s="7" t="n">
        <v>1141.5</v>
      </c>
      <c r="I47" s="7" t="n">
        <v>3191.83</v>
      </c>
    </row>
    <row r="48">
      <c r="A48" s="8" t="inlineStr">
        <is>
          <t>TRT-0091</t>
        </is>
      </c>
      <c r="B48" s="9" t="inlineStr">
        <is>
          <t>Beatrix Nakagawa</t>
        </is>
      </c>
      <c r="C48" s="9" t="inlineStr">
        <is>
          <t>Engineering</t>
        </is>
      </c>
      <c r="D48" s="10" t="n">
        <v>144500</v>
      </c>
      <c r="E48" s="8" t="inlineStr">
        <is>
          <t>Salary</t>
        </is>
      </c>
      <c r="F48" s="10" t="n">
        <v>6020.83</v>
      </c>
      <c r="G48" s="10" t="n">
        <v>520.8</v>
      </c>
      <c r="H48" s="10" t="n">
        <v>1488.72</v>
      </c>
      <c r="I48" s="10" t="n">
        <v>4532.11</v>
      </c>
    </row>
    <row r="49">
      <c r="A49" s="5" t="inlineStr">
        <is>
          <t>TRT-0093</t>
        </is>
      </c>
      <c r="B49" s="6" t="inlineStr">
        <is>
          <t>Caspian Nwachukwu</t>
        </is>
      </c>
      <c r="C49" s="6" t="inlineStr">
        <is>
          <t>Marketing</t>
        </is>
      </c>
      <c r="D49" s="7" t="n">
        <v>109300</v>
      </c>
      <c r="E49" s="5" t="inlineStr">
        <is>
          <t>Salary</t>
        </is>
      </c>
      <c r="F49" s="7" t="n">
        <v>4554.17</v>
      </c>
      <c r="G49" s="7" t="n">
        <v>393.94</v>
      </c>
      <c r="H49" s="7" t="n">
        <v>1156.52</v>
      </c>
      <c r="I49" s="7" t="n">
        <v>3397.65</v>
      </c>
    </row>
    <row r="50">
      <c r="A50" s="8" t="inlineStr">
        <is>
          <t>TRT-0096</t>
        </is>
      </c>
      <c r="B50" s="9" t="inlineStr">
        <is>
          <t>Delphine Marchetti</t>
        </is>
      </c>
      <c r="C50" s="9" t="inlineStr">
        <is>
          <t>Customer Success</t>
        </is>
      </c>
      <c r="D50" s="10" t="n">
        <v>58000</v>
      </c>
      <c r="E50" s="8" t="inlineStr">
        <is>
          <t>Salary</t>
        </is>
      </c>
      <c r="F50" s="10" t="n">
        <v>2416.67</v>
      </c>
      <c r="G50" s="10" t="n">
        <v>209.04</v>
      </c>
      <c r="H50" s="10" t="n">
        <v>672.38</v>
      </c>
      <c r="I50" s="10" t="n">
        <v>1744.29</v>
      </c>
    </row>
    <row r="51">
      <c r="A51" s="5" t="inlineStr">
        <is>
          <t>TRT-0099</t>
        </is>
      </c>
      <c r="B51" s="6" t="inlineStr">
        <is>
          <t>Leopold Anyanwu</t>
        </is>
      </c>
      <c r="C51" s="6" t="inlineStr">
        <is>
          <t>Customer Success</t>
        </is>
      </c>
      <c r="D51" s="7" t="n">
        <v>77650</v>
      </c>
      <c r="E51" s="5" t="inlineStr">
        <is>
          <t>Salary</t>
        </is>
      </c>
      <c r="F51" s="7" t="n">
        <v>3235.42</v>
      </c>
      <c r="G51" s="7" t="n">
        <v>279.86</v>
      </c>
      <c r="H51" s="7" t="n">
        <v>857.8200000000001</v>
      </c>
      <c r="I51" s="7" t="n">
        <v>2377.6</v>
      </c>
    </row>
    <row r="52">
      <c r="A52" s="8" t="inlineStr">
        <is>
          <t>TRT-0102</t>
        </is>
      </c>
      <c r="B52" s="9" t="inlineStr">
        <is>
          <t>Lucía Ferrante</t>
        </is>
      </c>
      <c r="C52" s="9" t="inlineStr">
        <is>
          <t>Engineering</t>
        </is>
      </c>
      <c r="D52" s="10" t="n">
        <v>108900</v>
      </c>
      <c r="E52" s="8" t="inlineStr">
        <is>
          <t>Salary</t>
        </is>
      </c>
      <c r="F52" s="10" t="n">
        <v>4537.5</v>
      </c>
      <c r="G52" s="10" t="n">
        <v>392.49</v>
      </c>
      <c r="H52" s="10" t="n">
        <v>1152.74</v>
      </c>
      <c r="I52" s="10" t="n">
        <v>3384.76</v>
      </c>
    </row>
    <row r="53">
      <c r="A53" s="5" t="inlineStr">
        <is>
          <t>TRT-0105</t>
        </is>
      </c>
      <c r="B53" s="6" t="inlineStr">
        <is>
          <t>Olamide Fitzwilliam</t>
        </is>
      </c>
      <c r="C53" s="6" t="inlineStr">
        <is>
          <t>Engineering</t>
        </is>
      </c>
      <c r="D53" s="7" t="n">
        <v>109200</v>
      </c>
      <c r="E53" s="5" t="inlineStr">
        <is>
          <t>Salary</t>
        </is>
      </c>
      <c r="F53" s="7" t="n">
        <v>4550</v>
      </c>
      <c r="G53" s="7" t="n">
        <v>393.58</v>
      </c>
      <c r="H53" s="7" t="n">
        <v>1155.58</v>
      </c>
      <c r="I53" s="7" t="n">
        <v>3394.42</v>
      </c>
    </row>
    <row r="54">
      <c r="A54" s="8" t="inlineStr">
        <is>
          <t>TRT-0108</t>
        </is>
      </c>
      <c r="B54" s="9" t="inlineStr">
        <is>
          <t>Gideon Marlowe</t>
        </is>
      </c>
      <c r="C54" s="9" t="inlineStr">
        <is>
          <t>Sales</t>
        </is>
      </c>
      <c r="D54" s="10" t="n">
        <v>95850</v>
      </c>
      <c r="E54" s="8" t="inlineStr">
        <is>
          <t>Salary</t>
        </is>
      </c>
      <c r="F54" s="10" t="n">
        <v>3993.75</v>
      </c>
      <c r="G54" s="10" t="n">
        <v>345.46</v>
      </c>
      <c r="H54" s="10" t="n">
        <v>1029.58</v>
      </c>
      <c r="I54" s="10" t="n">
        <v>2964.17</v>
      </c>
    </row>
    <row r="55">
      <c r="A55" s="5" t="inlineStr">
        <is>
          <t>TRT-0110</t>
        </is>
      </c>
      <c r="B55" s="6" t="inlineStr">
        <is>
          <t>Bartholomew Oduya</t>
        </is>
      </c>
      <c r="C55" s="6" t="inlineStr">
        <is>
          <t>Sales</t>
        </is>
      </c>
      <c r="D55" s="7" t="n">
        <v>91200</v>
      </c>
      <c r="E55" s="5" t="inlineStr">
        <is>
          <t>Salary</t>
        </is>
      </c>
      <c r="F55" s="7" t="n">
        <v>3800</v>
      </c>
      <c r="G55" s="7" t="n">
        <v>328.7</v>
      </c>
      <c r="H55" s="7" t="n">
        <v>985.7</v>
      </c>
      <c r="I55" s="7" t="n">
        <v>2814.3</v>
      </c>
    </row>
    <row r="56">
      <c r="A56" s="8" t="inlineStr">
        <is>
          <t>TRT-0113</t>
        </is>
      </c>
      <c r="B56" s="9" t="inlineStr">
        <is>
          <t>Winnie Barslanian</t>
        </is>
      </c>
      <c r="C56" s="9" t="inlineStr">
        <is>
          <t>Customer Success</t>
        </is>
      </c>
      <c r="D56" s="10" t="n">
        <v>61900</v>
      </c>
      <c r="E56" s="8" t="inlineStr">
        <is>
          <t>Salary</t>
        </is>
      </c>
      <c r="F56" s="10" t="n">
        <v>2579.17</v>
      </c>
      <c r="G56" s="10" t="n">
        <v>223.1</v>
      </c>
      <c r="H56" s="10" t="n">
        <v>709.1799999999999</v>
      </c>
      <c r="I56" s="10" t="n">
        <v>1869.99</v>
      </c>
    </row>
    <row r="57">
      <c r="A57" s="5" t="inlineStr">
        <is>
          <t>TRT-0117</t>
        </is>
      </c>
      <c r="B57" s="6" t="inlineStr">
        <is>
          <t>Belaviv Luk</t>
        </is>
      </c>
      <c r="C57" s="6" t="inlineStr">
        <is>
          <t>Engineering</t>
        </is>
      </c>
      <c r="D57" s="7" t="n">
        <v>148200</v>
      </c>
      <c r="E57" s="5" t="inlineStr">
        <is>
          <t>Salary</t>
        </is>
      </c>
      <c r="F57" s="7" t="n">
        <v>6175</v>
      </c>
      <c r="G57" s="7" t="n">
        <v>534.14</v>
      </c>
      <c r="H57" s="7" t="n">
        <v>1573.64</v>
      </c>
      <c r="I57" s="7" t="n">
        <v>4601.36</v>
      </c>
    </row>
    <row r="58">
      <c r="A58" s="8" t="inlineStr">
        <is>
          <t>TRT-0119</t>
        </is>
      </c>
      <c r="B58" s="9" t="inlineStr">
        <is>
          <t>Hectori Bung</t>
        </is>
      </c>
      <c r="C58" s="9" t="inlineStr">
        <is>
          <t>Engineering</t>
        </is>
      </c>
      <c r="D58" s="10" t="n">
        <v>134000</v>
      </c>
      <c r="E58" s="8" t="inlineStr">
        <is>
          <t>Salary</t>
        </is>
      </c>
      <c r="F58" s="10" t="n">
        <v>5583.33</v>
      </c>
      <c r="G58" s="10" t="n">
        <v>482.96</v>
      </c>
      <c r="H58" s="10" t="n">
        <v>1389.62</v>
      </c>
      <c r="I58" s="10" t="n">
        <v>4193.71</v>
      </c>
    </row>
    <row r="59">
      <c r="A59" s="5" t="inlineStr">
        <is>
          <t>TRT-0122</t>
        </is>
      </c>
      <c r="B59" s="6" t="inlineStr">
        <is>
          <t>Amara Osei-Tutu</t>
        </is>
      </c>
      <c r="C59" s="6" t="inlineStr">
        <is>
          <t>Engineering</t>
        </is>
      </c>
      <c r="D59" s="7" t="n">
        <v>125600</v>
      </c>
      <c r="E59" s="5" t="inlineStr">
        <is>
          <t>Salary</t>
        </is>
      </c>
      <c r="F59" s="7" t="n">
        <v>5233.33</v>
      </c>
      <c r="G59" s="7" t="n">
        <v>452.68</v>
      </c>
      <c r="H59" s="7" t="n">
        <v>1310.35</v>
      </c>
      <c r="I59" s="7" t="n">
        <v>3922.98</v>
      </c>
    </row>
    <row r="60">
      <c r="A60" s="8" t="inlineStr">
        <is>
          <t>TRT-0128</t>
        </is>
      </c>
      <c r="B60" s="9" t="inlineStr">
        <is>
          <t>Beenan Lanik</t>
        </is>
      </c>
      <c r="C60" s="9" t="inlineStr">
        <is>
          <t>Engineering</t>
        </is>
      </c>
      <c r="D60" s="10" t="n">
        <v>129750</v>
      </c>
      <c r="E60" s="8" t="inlineStr">
        <is>
          <t>Salary</t>
        </is>
      </c>
      <c r="F60" s="10" t="n">
        <v>5406.25</v>
      </c>
      <c r="G60" s="10" t="n">
        <v>467.64</v>
      </c>
      <c r="H60" s="10" t="n">
        <v>1349.52</v>
      </c>
      <c r="I60" s="10" t="n">
        <v>4056.73</v>
      </c>
    </row>
    <row r="61">
      <c r="A61" s="5" t="inlineStr">
        <is>
          <t>TRT-0131</t>
        </is>
      </c>
      <c r="B61" s="6" t="inlineStr">
        <is>
          <t>Aurelio Banda</t>
        </is>
      </c>
      <c r="C61" s="6" t="inlineStr">
        <is>
          <t>Marketing</t>
        </is>
      </c>
      <c r="D61" s="7" t="n">
        <v>76850</v>
      </c>
      <c r="E61" s="5" t="inlineStr">
        <is>
          <t>Salary</t>
        </is>
      </c>
      <c r="F61" s="7" t="n">
        <v>3202.08</v>
      </c>
      <c r="G61" s="7" t="n">
        <v>276.98</v>
      </c>
      <c r="H61" s="7" t="n">
        <v>850.27</v>
      </c>
      <c r="I61" s="7" t="n">
        <v>2351.81</v>
      </c>
    </row>
    <row r="62">
      <c r="A62" s="8" t="inlineStr">
        <is>
          <t>TRT-0135</t>
        </is>
      </c>
      <c r="B62" s="9" t="inlineStr">
        <is>
          <t>Solveig Okonjo</t>
        </is>
      </c>
      <c r="C62" s="9" t="inlineStr">
        <is>
          <t>Customer Success</t>
        </is>
      </c>
      <c r="D62" s="10" t="n">
        <v>94600</v>
      </c>
      <c r="E62" s="8" t="inlineStr">
        <is>
          <t>Salary</t>
        </is>
      </c>
      <c r="F62" s="10" t="n">
        <v>3941.67</v>
      </c>
      <c r="G62" s="10" t="n">
        <v>340.95</v>
      </c>
      <c r="H62" s="10" t="n">
        <v>1017.79</v>
      </c>
      <c r="I62" s="10" t="n">
        <v>2923.88</v>
      </c>
    </row>
    <row r="63">
      <c r="A63" s="5" t="inlineStr">
        <is>
          <t>TRT-0141</t>
        </is>
      </c>
      <c r="B63" s="6" t="inlineStr">
        <is>
          <t>Beatriz Quintanilla</t>
        </is>
      </c>
      <c r="C63" s="6" t="inlineStr">
        <is>
          <t>Customer Success</t>
        </is>
      </c>
      <c r="D63" s="7" t="n">
        <v>47840</v>
      </c>
      <c r="E63" s="5" t="inlineStr">
        <is>
          <t>Salary</t>
        </is>
      </c>
      <c r="F63" s="7" t="n">
        <v>1993.33</v>
      </c>
      <c r="G63" s="7" t="n">
        <v>172.42</v>
      </c>
      <c r="H63" s="7" t="n">
        <v>576.49</v>
      </c>
      <c r="I63" s="7" t="n">
        <v>1416.84</v>
      </c>
    </row>
    <row r="64" ht="26" customHeight="1">
      <c r="A64" s="14" t="inlineStr">
        <is>
          <t>TOTAL</t>
        </is>
      </c>
      <c r="B64" s="17" t="n"/>
      <c r="C64" s="17" t="n"/>
      <c r="D64" s="17" t="n"/>
      <c r="E64" s="17" t="n"/>
      <c r="F64" s="16">
        <f>SUM(F13:F63)</f>
        <v>252686.55</v>
      </c>
      <c r="G64" s="16">
        <f>SUM(G13:G63)</f>
        <v>21857.489999999998</v>
      </c>
      <c r="H64" s="16">
        <f>SUM(H13:H63)</f>
        <v>63923.73999999999</v>
      </c>
      <c r="I64" s="16">
        <f>SUM(I13:I63)</f>
        <v>188762.80999999997</v>
      </c>
    </row>
    <row r="65"/>
    <row r="66">
      <c r="A66" s="2" t="inlineStr">
        <is>
          <t>Employees Paid:</t>
        </is>
      </c>
      <c r="B66" s="3">
        <f>COUNTA(A13:A63)</f>
        <v>51</v>
      </c>
    </row>
  </sheetData>
  <mergeCells count="9">
    <mergeCell ref="B9:E9"/>
    <mergeCell ref="B8:E8"/>
    <mergeCell ref="B4:E4"/>
    <mergeCell ref="A64:E64"/>
    <mergeCell ref="B6:E6"/>
    <mergeCell ref="A1:I1"/>
    <mergeCell ref="B7:E7"/>
    <mergeCell ref="B3:E3"/>
    <mergeCell ref="B5:E5"/>
  </mergeCells>
  <printOptions horizontalCentered="1"/>
  <pageMargins left="0.4" right="0.4" top="0.6" bottom="0.6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2026-06-30T00:00:00Z</dcterms:created>
  <dcterms:modified xmlns:dcterms="http://purl.org/dc/terms/" xmlns:xsi="http://www.w3.org/2001/XMLSchema-instance" xsi:type="dcterms:W3CDTF">2026-06-30T00:00:00Z</dcterms:modified>
  <dc:creator xmlns:dc="http://purl.org/dc/elements/1.1/">Krystale Jumawan</dc:creator>
  <cp:lastModifiedBy>Krystale Jumawan</cp:lastModifiedBy>
</cp:coreProperties>
</file>