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>
    <definedName name="_xlnm.Print_Titles" localSheetId="0">'Payroll Register'!$10:$10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$#,##0"/>
    <numFmt numFmtId="166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Helvetica"/>
      <b val="1"/>
      <color rgb="00FFFFFF"/>
      <sz val="20"/>
    </font>
    <font>
      <name val="Helvetica"/>
      <b val="1"/>
      <color rgb="000E1B2C"/>
      <sz val="10"/>
    </font>
    <font>
      <name val="Helvetica"/>
      <color rgb="002A3445"/>
      <sz val="10"/>
    </font>
    <font>
      <name val="Helvetica"/>
      <b val="1"/>
      <color rgb="00FFFFFF"/>
      <sz val="10.5"/>
    </font>
    <font>
      <name val="Helvetica"/>
      <color rgb="001A2330"/>
      <sz val="10"/>
    </font>
    <font>
      <name val="Helvetica"/>
      <b val="1"/>
      <color rgb="001A2330"/>
      <sz val="10"/>
    </font>
    <font>
      <name val="Helvetica"/>
      <color rgb="004A5666"/>
      <sz val="9.5"/>
    </font>
    <font>
      <name val="Helvetica"/>
      <b val="1"/>
      <color rgb="000E1B2C"/>
      <sz val="11"/>
    </font>
    <font>
      <name val="Helvetica"/>
      <b val="1"/>
      <color rgb="000E1B2C"/>
      <sz val="9.5"/>
    </font>
    <font>
      <name val="Helvetica"/>
      <color rgb="003A4658"/>
      <sz val="9.5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0E1B2C"/>
        <bgColor rgb="000E1B2C"/>
      </patternFill>
    </fill>
    <fill>
      <patternFill patternType="solid">
        <fgColor rgb="00E5ECF2"/>
        <bgColor rgb="00E5ECF2"/>
      </patternFill>
    </fill>
    <fill>
      <patternFill patternType="solid">
        <fgColor rgb="00FFFFFF"/>
        <bgColor rgb="00FFFFFF"/>
      </patternFill>
    </fill>
    <fill>
      <patternFill patternType="solid">
        <fgColor rgb="0014304A"/>
        <bgColor rgb="0014304A"/>
      </patternFill>
    </fill>
    <fill>
      <patternFill patternType="solid">
        <fgColor rgb="00F2F5F8"/>
        <bgColor rgb="00F2F5F8"/>
      </patternFill>
    </fill>
    <fill>
      <patternFill patternType="solid">
        <fgColor rgb="00DCE6EF"/>
        <bgColor rgb="00DCE6EF"/>
      </patternFill>
    </fill>
  </fills>
  <borders count="2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ck">
        <color rgb="001F6F8B"/>
      </left>
      <top style="hair">
        <color rgb="00C7D2DC"/>
      </top>
      <bottom style="hair">
        <color rgb="00C7D2DC"/>
      </bottom>
    </border>
    <border>
      <right style="hair">
        <color rgb="00C7D2DC"/>
      </right>
      <top style="hair">
        <color rgb="00C7D2DC"/>
      </top>
      <bottom style="hair">
        <color rgb="00C7D2DC"/>
      </bottom>
    </border>
    <border>
      <top style="hair">
        <color rgb="00C7D2DC"/>
      </top>
      <bottom style="hair">
        <color rgb="00C7D2DC"/>
      </bottom>
    </border>
    <border>
      <bottom style="medium">
        <color rgb="001F6F8B"/>
      </bottom>
    </border>
    <border>
      <bottom style="hair">
        <color rgb="00C7D2DC"/>
      </bottom>
    </border>
    <border>
      <top style="medium">
        <color rgb="0014304A"/>
      </top>
      <bottom style="medium">
        <color rgb="0014304A"/>
      </bottom>
    </border>
    <border>
      <left style="thick">
        <color rgb="001F6F8B"/>
      </left>
      <bottom style="hair">
        <color rgb="00C7D2DC"/>
      </bottom>
    </border>
    <border>
      <left/>
      <right/>
      <top/>
      <bottom style="hair">
        <color rgb="00C7D2DC"/>
      </bottom>
      <diagonal/>
    </border>
    <border>
      <left/>
      <right/>
      <top style="hair">
        <color rgb="00C7D2DC"/>
      </top>
      <bottom/>
      <diagonal/>
    </border>
    <border>
      <left/>
      <right style="hair">
        <color rgb="00C7D2DC"/>
      </right>
      <top style="hair">
        <color rgb="00C7D2DC"/>
      </top>
      <bottom/>
      <diagonal/>
    </border>
    <border>
      <left/>
      <right/>
      <top style="hair">
        <color rgb="00C7D2DC"/>
      </top>
      <bottom style="hair">
        <color rgb="00C7D2DC"/>
      </bottom>
      <diagonal/>
    </border>
    <border>
      <left/>
      <right style="hair">
        <color rgb="00C7D2DC"/>
      </right>
      <top style="hair">
        <color rgb="00C7D2DC"/>
      </top>
      <bottom style="hair">
        <color rgb="00C7D2DC"/>
      </bottom>
      <diagonal/>
    </border>
    <border>
      <left/>
      <right/>
      <top style="medium">
        <color rgb="0014304A"/>
      </top>
      <bottom/>
      <diagonal/>
    </border>
    <border>
      <left/>
      <right/>
      <top style="medium">
        <color rgb="0014304A"/>
      </top>
      <bottom style="medium">
        <color rgb="0014304A"/>
      </bottom>
      <diagonal/>
    </border>
    <border>
      <right/>
      <bottom style="hair">
        <color rgb="00C7D2DC"/>
      </bottom>
    </border>
    <border>
      <right/>
      <top style="medium">
        <color rgb="0014304A"/>
      </top>
      <bottom style="medium">
        <color rgb="0014304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164" fontId="2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1"/>
    </xf>
    <xf numFmtId="0" fontId="6" fillId="6" borderId="6" applyAlignment="1" pivotButton="0" quotePrefix="0" xfId="0">
      <alignment horizontal="left" vertical="center" indent="1"/>
    </xf>
    <xf numFmtId="0" fontId="7" fillId="7" borderId="7" applyAlignment="1" pivotButton="0" quotePrefix="0" xfId="0">
      <alignment horizontal="left" vertical="center" indent="1"/>
    </xf>
    <xf numFmtId="0" fontId="0" fillId="7" borderId="8" pivotButton="0" quotePrefix="0" xfId="0"/>
    <xf numFmtId="0" fontId="8" fillId="8" borderId="9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left" vertical="center" indent="1"/>
    </xf>
    <xf numFmtId="0" fontId="10" fillId="7" borderId="10" applyAlignment="1" pivotButton="0" quotePrefix="0" xfId="0">
      <alignment horizontal="left" vertical="center" indent="1"/>
    </xf>
    <xf numFmtId="0" fontId="11" fillId="7" borderId="10" applyAlignment="1" pivotButton="0" quotePrefix="0" xfId="0">
      <alignment horizontal="left" vertical="center" indent="1"/>
    </xf>
    <xf numFmtId="165" fontId="9" fillId="7" borderId="10" applyAlignment="1" pivotButton="0" quotePrefix="0" xfId="0">
      <alignment horizontal="right" vertical="center" indent="1"/>
    </xf>
    <xf numFmtId="0" fontId="11" fillId="7" borderId="10" applyAlignment="1" pivotButton="0" quotePrefix="0" xfId="0">
      <alignment horizontal="center" vertical="center"/>
    </xf>
    <xf numFmtId="166" fontId="9" fillId="7" borderId="10" applyAlignment="1" pivotButton="0" quotePrefix="0" xfId="0">
      <alignment horizontal="right" vertical="center" indent="1"/>
    </xf>
    <xf numFmtId="166" fontId="6" fillId="7" borderId="10" applyAlignment="1" pivotButton="0" quotePrefix="0" xfId="0">
      <alignment horizontal="right" vertical="center" indent="1"/>
    </xf>
    <xf numFmtId="0" fontId="6" fillId="9" borderId="10" applyAlignment="1" pivotButton="0" quotePrefix="0" xfId="0">
      <alignment horizontal="left" vertical="center" indent="1"/>
    </xf>
    <xf numFmtId="0" fontId="10" fillId="9" borderId="10" applyAlignment="1" pivotButton="0" quotePrefix="0" xfId="0">
      <alignment horizontal="left" vertical="center" indent="1"/>
    </xf>
    <xf numFmtId="0" fontId="11" fillId="9" borderId="10" applyAlignment="1" pivotButton="0" quotePrefix="0" xfId="0">
      <alignment horizontal="left" vertical="center" indent="1"/>
    </xf>
    <xf numFmtId="165" fontId="9" fillId="9" borderId="10" applyAlignment="1" pivotButton="0" quotePrefix="0" xfId="0">
      <alignment horizontal="right" vertical="center" indent="1"/>
    </xf>
    <xf numFmtId="0" fontId="11" fillId="9" borderId="10" applyAlignment="1" pivotButton="0" quotePrefix="0" xfId="0">
      <alignment horizontal="center" vertical="center"/>
    </xf>
    <xf numFmtId="166" fontId="9" fillId="9" borderId="10" applyAlignment="1" pivotButton="0" quotePrefix="0" xfId="0">
      <alignment horizontal="right" vertical="center" indent="1"/>
    </xf>
    <xf numFmtId="166" fontId="6" fillId="9" borderId="10" applyAlignment="1" pivotButton="0" quotePrefix="0" xfId="0">
      <alignment horizontal="right" vertical="center" indent="1"/>
    </xf>
    <xf numFmtId="0" fontId="12" fillId="10" borderId="11" applyAlignment="1" pivotButton="0" quotePrefix="0" xfId="0">
      <alignment horizontal="left" vertical="center" indent="1"/>
    </xf>
    <xf numFmtId="0" fontId="0" fillId="10" borderId="11" pivotButton="0" quotePrefix="0" xfId="0"/>
    <xf numFmtId="166" fontId="12" fillId="10" borderId="11" applyAlignment="1" pivotButton="0" quotePrefix="0" xfId="0">
      <alignment horizontal="right" vertical="center" indent="1"/>
    </xf>
    <xf numFmtId="0" fontId="13" fillId="7" borderId="12" applyAlignment="1" pivotButton="0" quotePrefix="0" xfId="0">
      <alignment horizontal="left" vertical="center" indent="1"/>
    </xf>
    <xf numFmtId="0" fontId="14" fillId="7" borderId="10" applyAlignment="1" pivotButton="0" quotePrefix="0" xfId="0">
      <alignment horizontal="left" vertical="center" wrapText="1" indent="1"/>
    </xf>
    <xf numFmtId="0" fontId="0" fillId="7" borderId="1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3" pivotButton="0" quotePrefix="0" xfId="0"/>
    <xf numFmtId="0" fontId="12" fillId="10" borderId="21" applyAlignment="1" pivotButton="0" quotePrefix="0" xfId="0">
      <alignment horizontal="left" vertical="center" indent="1"/>
    </xf>
    <xf numFmtId="0" fontId="14" fillId="7" borderId="2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1B2C"/>
    <outlinePr summaryBelow="1" summaryRight="1"/>
    <pageSetUpPr fitToPage="1"/>
  </sheetPr>
  <dimension ref="A1:I69"/>
  <sheetViews>
    <sheetView showGridLines="0" showRowColHeader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6" customWidth="1" min="4" max="4"/>
    <col width="11" customWidth="1" min="5" max="5"/>
    <col width="15" customWidth="1" min="6" max="6"/>
    <col width="17" customWidth="1" min="7" max="7"/>
    <col width="14" customWidth="1" min="8" max="8"/>
    <col width="15" customWidth="1" min="9" max="9"/>
  </cols>
  <sheetData>
    <row r="1" ht="40" customHeight="1">
      <c r="A1" s="11" t="inlineStr">
        <is>
          <t>PAYROLL REGISTER</t>
        </is>
      </c>
    </row>
    <row r="2" ht="18" customHeight="1">
      <c r="A2" s="12" t="inlineStr">
        <is>
          <t>Company:</t>
        </is>
      </c>
      <c r="B2" s="13" t="inlineStr">
        <is>
          <t>Troutly Analytics, Inc.</t>
        </is>
      </c>
      <c r="C2" s="36" t="n"/>
      <c r="D2" s="36" t="n"/>
      <c r="E2" s="36" t="n"/>
      <c r="F2" s="36" t="n"/>
      <c r="G2" s="36" t="n"/>
      <c r="H2" s="36" t="n"/>
      <c r="I2" s="37" t="n"/>
    </row>
    <row r="3" ht="18" customHeight="1">
      <c r="A3" s="12" t="inlineStr">
        <is>
          <t>Pay Frequency:</t>
        </is>
      </c>
      <c r="B3" s="13" t="inlineStr">
        <is>
          <t>Biweekly</t>
        </is>
      </c>
      <c r="C3" s="36" t="n"/>
      <c r="D3" s="36" t="n"/>
      <c r="E3" s="36" t="n"/>
      <c r="F3" s="36" t="n"/>
      <c r="G3" s="36" t="n"/>
      <c r="H3" s="36" t="n"/>
      <c r="I3" s="37" t="n"/>
    </row>
    <row r="4" ht="18" customHeight="1">
      <c r="A4" s="12" t="inlineStr">
        <is>
          <t>Pay Period:</t>
        </is>
      </c>
      <c r="B4" s="13" t="inlineStr">
        <is>
          <t>06/22/2026 – 07/05/2026</t>
        </is>
      </c>
      <c r="C4" s="36" t="n"/>
      <c r="D4" s="36" t="n"/>
      <c r="E4" s="36" t="n"/>
      <c r="F4" s="36" t="n"/>
      <c r="G4" s="36" t="n"/>
      <c r="H4" s="36" t="n"/>
      <c r="I4" s="37" t="n"/>
    </row>
    <row r="5" ht="18" customHeight="1">
      <c r="A5" s="12" t="inlineStr">
        <is>
          <t>Check Date:</t>
        </is>
      </c>
      <c r="B5" s="13" t="inlineStr">
        <is>
          <t>07/10/2026</t>
        </is>
      </c>
      <c r="C5" s="36" t="n"/>
      <c r="D5" s="36" t="n"/>
      <c r="E5" s="36" t="n"/>
      <c r="F5" s="36" t="n"/>
      <c r="G5" s="36" t="n"/>
      <c r="H5" s="36" t="n"/>
      <c r="I5" s="37" t="n"/>
    </row>
    <row r="6" ht="18" customHeight="1">
      <c r="A6" s="12" t="inlineStr">
        <is>
          <t>Prepared By:</t>
        </is>
      </c>
      <c r="B6" s="13" t="inlineStr">
        <is>
          <t>Krystale Jumawan, Finance Manager</t>
        </is>
      </c>
      <c r="C6" s="36" t="n"/>
      <c r="D6" s="36" t="n"/>
      <c r="E6" s="36" t="n"/>
      <c r="F6" s="36" t="n"/>
      <c r="G6" s="36" t="n"/>
      <c r="H6" s="36" t="n"/>
      <c r="I6" s="37" t="n"/>
    </row>
    <row r="7" ht="18" customHeight="1">
      <c r="A7" s="12" t="inlineStr">
        <is>
          <t>Source System:</t>
        </is>
      </c>
      <c r="B7" s="13" t="inlineStr">
        <is>
          <t>BambooHR (HRIS)</t>
        </is>
      </c>
      <c r="C7" s="36" t="n"/>
      <c r="D7" s="36" t="n"/>
      <c r="E7" s="36" t="n"/>
      <c r="F7" s="36" t="n"/>
      <c r="G7" s="36" t="n"/>
      <c r="H7" s="36" t="n"/>
      <c r="I7" s="37" t="n"/>
    </row>
    <row r="8" ht="18" customHeight="1">
      <c r="A8" s="12" t="inlineStr">
        <is>
          <t>Run Type:</t>
        </is>
      </c>
      <c r="B8" s="13" t="inlineStr">
        <is>
          <t>First Biweekly Payroll</t>
        </is>
      </c>
      <c r="C8" s="36" t="n"/>
      <c r="D8" s="36" t="n"/>
      <c r="E8" s="36" t="n"/>
      <c r="F8" s="36" t="n"/>
      <c r="G8" s="36" t="n"/>
      <c r="H8" s="36" t="n"/>
      <c r="I8" s="37" t="n"/>
    </row>
    <row r="9" ht="8" customHeight="1"/>
    <row r="10" ht="26" customHeight="1">
      <c r="A10" s="15" t="inlineStr">
        <is>
          <t>Employee #</t>
        </is>
      </c>
      <c r="B10" s="15" t="inlineStr">
        <is>
          <t>Name</t>
        </is>
      </c>
      <c r="C10" s="15" t="inlineStr">
        <is>
          <t>Department</t>
        </is>
      </c>
      <c r="D10" s="15" t="inlineStr">
        <is>
          <t>Pay Rate</t>
        </is>
      </c>
      <c r="E10" s="15" t="inlineStr">
        <is>
          <t>Basis</t>
        </is>
      </c>
      <c r="F10" s="15" t="inlineStr">
        <is>
          <t>Gross Pay</t>
        </is>
      </c>
      <c r="G10" s="15" t="inlineStr">
        <is>
          <t>Employer Taxes</t>
        </is>
      </c>
      <c r="H10" s="15" t="inlineStr">
        <is>
          <t>Deductions</t>
        </is>
      </c>
      <c r="I10" s="15" t="inlineStr">
        <is>
          <t>Net Pay</t>
        </is>
      </c>
    </row>
    <row r="11" ht="16" customHeight="1">
      <c r="A11" s="16" t="inlineStr">
        <is>
          <t>TRT-0001</t>
        </is>
      </c>
      <c r="B11" s="17" t="inlineStr">
        <is>
          <t>Michael Labeson</t>
        </is>
      </c>
      <c r="C11" s="18" t="inlineStr">
        <is>
          <t>Finance and Corporate</t>
        </is>
      </c>
      <c r="D11" s="19" t="n">
        <v>215000</v>
      </c>
      <c r="E11" s="20" t="inlineStr">
        <is>
          <t>Salary</t>
        </is>
      </c>
      <c r="F11" s="21" t="n">
        <v>8269.23</v>
      </c>
      <c r="G11" s="21" t="n">
        <v>715.29</v>
      </c>
      <c r="H11" s="21" t="n">
        <v>2067.98</v>
      </c>
      <c r="I11" s="22" t="n">
        <v>6201.25</v>
      </c>
    </row>
    <row r="12" ht="16" customHeight="1">
      <c r="A12" s="23" t="inlineStr">
        <is>
          <t>TRT-0002</t>
        </is>
      </c>
      <c r="B12" s="24" t="inlineStr">
        <is>
          <t>Sora Jackson</t>
        </is>
      </c>
      <c r="C12" s="25" t="inlineStr">
        <is>
          <t>Engineering</t>
        </is>
      </c>
      <c r="D12" s="26" t="n">
        <v>205000</v>
      </c>
      <c r="E12" s="27" t="inlineStr">
        <is>
          <t>Salary</t>
        </is>
      </c>
      <c r="F12" s="28" t="n">
        <v>7884.62</v>
      </c>
      <c r="G12" s="28" t="n">
        <v>682.02</v>
      </c>
      <c r="H12" s="28" t="n">
        <v>1960.87</v>
      </c>
      <c r="I12" s="29" t="n">
        <v>5923.75</v>
      </c>
    </row>
    <row r="13" ht="16" customHeight="1">
      <c r="A13" s="16" t="inlineStr">
        <is>
          <t>TRT-0005</t>
        </is>
      </c>
      <c r="B13" s="17" t="inlineStr">
        <is>
          <t>Mikelle Hosana</t>
        </is>
      </c>
      <c r="C13" s="18" t="inlineStr">
        <is>
          <t>Engineering</t>
        </is>
      </c>
      <c r="D13" s="19" t="n">
        <v>187510</v>
      </c>
      <c r="E13" s="20" t="inlineStr">
        <is>
          <t>Salary</t>
        </is>
      </c>
      <c r="F13" s="21" t="n">
        <v>7211.92</v>
      </c>
      <c r="G13" s="21" t="n">
        <v>623.83</v>
      </c>
      <c r="H13" s="21" t="n">
        <v>1828.5</v>
      </c>
      <c r="I13" s="22" t="n">
        <v>5383.42</v>
      </c>
    </row>
    <row r="14" ht="16" customHeight="1">
      <c r="A14" s="23" t="inlineStr">
        <is>
          <t>TRT-0006</t>
        </is>
      </c>
      <c r="B14" s="24" t="inlineStr">
        <is>
          <t>Grayson Oshimoto</t>
        </is>
      </c>
      <c r="C14" s="25" t="inlineStr">
        <is>
          <t>Finance and Corporate</t>
        </is>
      </c>
      <c r="D14" s="26" t="n">
        <v>80600</v>
      </c>
      <c r="E14" s="27" t="inlineStr">
        <is>
          <t>Salary</t>
        </is>
      </c>
      <c r="F14" s="28" t="n">
        <v>3100</v>
      </c>
      <c r="G14" s="28" t="n">
        <v>268.15</v>
      </c>
      <c r="H14" s="28" t="n">
        <v>827.15</v>
      </c>
      <c r="I14" s="29" t="n">
        <v>2272.85</v>
      </c>
    </row>
    <row r="15" ht="16" customHeight="1">
      <c r="A15" s="16" t="inlineStr">
        <is>
          <t>TRT-0009</t>
        </is>
      </c>
      <c r="B15" s="17" t="inlineStr">
        <is>
          <t>Krystale Jumawan</t>
        </is>
      </c>
      <c r="C15" s="18" t="inlineStr">
        <is>
          <t>Finance and Corporate</t>
        </is>
      </c>
      <c r="D15" s="19" t="n">
        <v>138700</v>
      </c>
      <c r="E15" s="20" t="inlineStr">
        <is>
          <t>Salary</t>
        </is>
      </c>
      <c r="F15" s="21" t="n">
        <v>5334.62</v>
      </c>
      <c r="G15" s="21" t="n">
        <v>461.44</v>
      </c>
      <c r="H15" s="21" t="n">
        <v>1383.29</v>
      </c>
      <c r="I15" s="22" t="n">
        <v>3951.33</v>
      </c>
    </row>
    <row r="16" ht="16" customHeight="1">
      <c r="A16" s="23" t="inlineStr">
        <is>
          <t>TRT-0012</t>
        </is>
      </c>
      <c r="B16" s="24" t="inlineStr">
        <is>
          <t>Jessica Ko</t>
        </is>
      </c>
      <c r="C16" s="25" t="inlineStr">
        <is>
          <t>Engineering</t>
        </is>
      </c>
      <c r="D16" s="26" t="n">
        <v>176400</v>
      </c>
      <c r="E16" s="27" t="inlineStr">
        <is>
          <t>Salary</t>
        </is>
      </c>
      <c r="F16" s="28" t="n">
        <v>6784.62</v>
      </c>
      <c r="G16" s="28" t="n">
        <v>586.87</v>
      </c>
      <c r="H16" s="28" t="n">
        <v>1561.72</v>
      </c>
      <c r="I16" s="29" t="n">
        <v>5222.9</v>
      </c>
    </row>
    <row r="17" ht="16" customHeight="1">
      <c r="A17" s="16" t="inlineStr">
        <is>
          <t>TRT-0014</t>
        </is>
      </c>
      <c r="B17" s="17" t="inlineStr">
        <is>
          <t>Rohan Iyer</t>
        </is>
      </c>
      <c r="C17" s="18" t="inlineStr">
        <is>
          <t>Engineering</t>
        </is>
      </c>
      <c r="D17" s="19" t="n">
        <v>156700</v>
      </c>
      <c r="E17" s="20" t="inlineStr">
        <is>
          <t>Salary</t>
        </is>
      </c>
      <c r="F17" s="21" t="n">
        <v>6026.92</v>
      </c>
      <c r="G17" s="21" t="n">
        <v>521.33</v>
      </c>
      <c r="H17" s="21" t="n">
        <v>1490.1</v>
      </c>
      <c r="I17" s="22" t="n">
        <v>4536.82</v>
      </c>
    </row>
    <row r="18" ht="16" customHeight="1">
      <c r="A18" s="23" t="inlineStr">
        <is>
          <t>TRT-0018</t>
        </is>
      </c>
      <c r="B18" s="24" t="inlineStr">
        <is>
          <t>Marisela Thornbury</t>
        </is>
      </c>
      <c r="C18" s="25" t="inlineStr">
        <is>
          <t>Sales</t>
        </is>
      </c>
      <c r="D18" s="26" t="n">
        <v>173300</v>
      </c>
      <c r="E18" s="27" t="inlineStr">
        <is>
          <t>Salary</t>
        </is>
      </c>
      <c r="F18" s="28" t="n">
        <v>6665.38</v>
      </c>
      <c r="G18" s="28" t="n">
        <v>576.5599999999999</v>
      </c>
      <c r="H18" s="28" t="n">
        <v>1684.71</v>
      </c>
      <c r="I18" s="29" t="n">
        <v>4980.67</v>
      </c>
    </row>
    <row r="19" ht="16" customHeight="1">
      <c r="A19" s="16" t="inlineStr">
        <is>
          <t>TRT-0021</t>
        </is>
      </c>
      <c r="B19" s="17" t="inlineStr">
        <is>
          <t>Edith Bustamante</t>
        </is>
      </c>
      <c r="C19" s="18" t="inlineStr">
        <is>
          <t>Customer Success</t>
        </is>
      </c>
      <c r="D19" s="19" t="n">
        <v>121300</v>
      </c>
      <c r="E19" s="20" t="inlineStr">
        <is>
          <t>Salary</t>
        </is>
      </c>
      <c r="F19" s="21" t="n">
        <v>4665.38</v>
      </c>
      <c r="G19" s="21" t="n">
        <v>403.56</v>
      </c>
      <c r="H19" s="21" t="n">
        <v>1216.71</v>
      </c>
      <c r="I19" s="22" t="n">
        <v>3448.67</v>
      </c>
    </row>
    <row r="20" ht="16" customHeight="1">
      <c r="A20" s="23" t="inlineStr">
        <is>
          <t>TRT-0023</t>
        </is>
      </c>
      <c r="B20" s="24" t="inlineStr">
        <is>
          <t>Maeve Oyinlola</t>
        </is>
      </c>
      <c r="C20" s="25" t="inlineStr">
        <is>
          <t>Engineering</t>
        </is>
      </c>
      <c r="D20" s="26" t="n">
        <v>154900</v>
      </c>
      <c r="E20" s="27" t="inlineStr">
        <is>
          <t>Salary</t>
        </is>
      </c>
      <c r="F20" s="28" t="n">
        <v>5957.69</v>
      </c>
      <c r="G20" s="28" t="n">
        <v>515.34</v>
      </c>
      <c r="H20" s="28" t="n">
        <v>1474.42</v>
      </c>
      <c r="I20" s="29" t="n">
        <v>4483.27</v>
      </c>
    </row>
    <row r="21" ht="16" customHeight="1">
      <c r="A21" s="16" t="inlineStr">
        <is>
          <t>TRT-0027</t>
        </is>
      </c>
      <c r="B21" s="17" t="inlineStr">
        <is>
          <t>Kenji Abubakar</t>
        </is>
      </c>
      <c r="C21" s="18" t="inlineStr">
        <is>
          <t>Marketing</t>
        </is>
      </c>
      <c r="D21" s="19" t="n">
        <v>157600</v>
      </c>
      <c r="E21" s="20" t="inlineStr">
        <is>
          <t>Salary</t>
        </is>
      </c>
      <c r="F21" s="21" t="n">
        <v>6061.54</v>
      </c>
      <c r="G21" s="21" t="n">
        <v>524.3200000000001</v>
      </c>
      <c r="H21" s="21" t="n">
        <v>1567.94</v>
      </c>
      <c r="I21" s="22" t="n">
        <v>4493.6</v>
      </c>
    </row>
    <row r="22" ht="16" customHeight="1">
      <c r="A22" s="23" t="inlineStr">
        <is>
          <t>TRT-0029</t>
        </is>
      </c>
      <c r="B22" s="24" t="inlineStr">
        <is>
          <t>Emeka Thorsen</t>
        </is>
      </c>
      <c r="C22" s="25" t="inlineStr">
        <is>
          <t>Sales</t>
        </is>
      </c>
      <c r="D22" s="26" t="n">
        <v>101400</v>
      </c>
      <c r="E22" s="27" t="inlineStr">
        <is>
          <t>Salary</t>
        </is>
      </c>
      <c r="F22" s="28" t="n">
        <v>3900</v>
      </c>
      <c r="G22" s="28" t="n">
        <v>337.35</v>
      </c>
      <c r="H22" s="28" t="n">
        <v>908.35</v>
      </c>
      <c r="I22" s="29" t="n">
        <v>2991.65</v>
      </c>
    </row>
    <row r="23" ht="16" customHeight="1">
      <c r="A23" s="16" t="inlineStr">
        <is>
          <t>TRT-0031</t>
        </is>
      </c>
      <c r="B23" s="17" t="inlineStr">
        <is>
          <t>Zephyr Adebayo</t>
        </is>
      </c>
      <c r="C23" s="18" t="inlineStr">
        <is>
          <t>Engineering</t>
        </is>
      </c>
      <c r="D23" s="19" t="n">
        <v>161200</v>
      </c>
      <c r="E23" s="20" t="inlineStr">
        <is>
          <t>Salary</t>
        </is>
      </c>
      <c r="F23" s="21" t="n">
        <v>6200</v>
      </c>
      <c r="G23" s="21" t="n">
        <v>536.3</v>
      </c>
      <c r="H23" s="21" t="n">
        <v>1529.3</v>
      </c>
      <c r="I23" s="22" t="n">
        <v>4670.7</v>
      </c>
    </row>
    <row r="24" ht="16" customHeight="1">
      <c r="A24" s="23" t="inlineStr">
        <is>
          <t>TRT-0034</t>
        </is>
      </c>
      <c r="B24" s="24" t="inlineStr">
        <is>
          <t>Luka Odum</t>
        </is>
      </c>
      <c r="C24" s="25" t="inlineStr">
        <is>
          <t>Finance and Corporate</t>
        </is>
      </c>
      <c r="D24" s="26" t="n">
        <v>84600</v>
      </c>
      <c r="E24" s="27" t="inlineStr">
        <is>
          <t>Salary</t>
        </is>
      </c>
      <c r="F24" s="28" t="n">
        <v>3253.85</v>
      </c>
      <c r="G24" s="28" t="n">
        <v>281.46</v>
      </c>
      <c r="H24" s="28" t="n">
        <v>861.99</v>
      </c>
      <c r="I24" s="29" t="n">
        <v>2391.86</v>
      </c>
    </row>
    <row r="25" ht="16" customHeight="1">
      <c r="A25" s="16" t="inlineStr">
        <is>
          <t>TRT-0037</t>
        </is>
      </c>
      <c r="B25" s="17" t="inlineStr">
        <is>
          <t>Piper Athanasoulis</t>
        </is>
      </c>
      <c r="C25" s="18" t="inlineStr">
        <is>
          <t>Sales</t>
        </is>
      </c>
      <c r="D25" s="19" t="n">
        <v>68900</v>
      </c>
      <c r="E25" s="20" t="inlineStr">
        <is>
          <t>Salary</t>
        </is>
      </c>
      <c r="F25" s="21" t="n">
        <v>2650</v>
      </c>
      <c r="G25" s="21" t="n">
        <v>229.23</v>
      </c>
      <c r="H25" s="21" t="n">
        <v>725.23</v>
      </c>
      <c r="I25" s="22" t="n">
        <v>1924.77</v>
      </c>
    </row>
    <row r="26" ht="16" customHeight="1">
      <c r="A26" s="23" t="inlineStr">
        <is>
          <t>TRT-0040</t>
        </is>
      </c>
      <c r="B26" s="24" t="inlineStr">
        <is>
          <t>Ilse Van der Kolk</t>
        </is>
      </c>
      <c r="C26" s="25" t="inlineStr">
        <is>
          <t>Product</t>
        </is>
      </c>
      <c r="D26" s="26" t="n">
        <v>176400</v>
      </c>
      <c r="E26" s="27" t="inlineStr">
        <is>
          <t>Salary</t>
        </is>
      </c>
      <c r="F26" s="28" t="n">
        <v>6784.62</v>
      </c>
      <c r="G26" s="28" t="n">
        <v>586.87</v>
      </c>
      <c r="H26" s="28" t="n">
        <v>1711.72</v>
      </c>
      <c r="I26" s="29" t="n">
        <v>5072.9</v>
      </c>
    </row>
    <row r="27" ht="16" customHeight="1">
      <c r="A27" s="16" t="inlineStr">
        <is>
          <t>TRT-0043</t>
        </is>
      </c>
      <c r="B27" s="17" t="inlineStr">
        <is>
          <t>Oren Kastellanos</t>
        </is>
      </c>
      <c r="C27" s="18" t="inlineStr">
        <is>
          <t>Sales</t>
        </is>
      </c>
      <c r="D27" s="19" t="n">
        <v>97350</v>
      </c>
      <c r="E27" s="20" t="inlineStr">
        <is>
          <t>Salary</t>
        </is>
      </c>
      <c r="F27" s="21" t="n">
        <v>3744.23</v>
      </c>
      <c r="G27" s="21" t="n">
        <v>323.88</v>
      </c>
      <c r="H27" s="21" t="n">
        <v>973.0700000000001</v>
      </c>
      <c r="I27" s="22" t="n">
        <v>2771.16</v>
      </c>
    </row>
    <row r="28" ht="16" customHeight="1">
      <c r="A28" s="23" t="inlineStr">
        <is>
          <t>TRT-0045</t>
        </is>
      </c>
      <c r="B28" s="24" t="inlineStr">
        <is>
          <t>Thaddeus Ilunga</t>
        </is>
      </c>
      <c r="C28" s="25" t="inlineStr">
        <is>
          <t>Customer Success</t>
        </is>
      </c>
      <c r="D28" s="26" t="n">
        <v>100800</v>
      </c>
      <c r="E28" s="27" t="inlineStr">
        <is>
          <t>Salary</t>
        </is>
      </c>
      <c r="F28" s="28" t="n">
        <v>3876.92</v>
      </c>
      <c r="G28" s="28" t="n">
        <v>335.35</v>
      </c>
      <c r="H28" s="28" t="n">
        <v>1003.12</v>
      </c>
      <c r="I28" s="29" t="n">
        <v>2873.8</v>
      </c>
    </row>
    <row r="29" ht="16" customHeight="1">
      <c r="A29" s="16" t="inlineStr">
        <is>
          <t>TRT-0047</t>
        </is>
      </c>
      <c r="B29" s="17" t="inlineStr">
        <is>
          <t>Sunniva Mbeki</t>
        </is>
      </c>
      <c r="C29" s="18" t="inlineStr">
        <is>
          <t>Engineering</t>
        </is>
      </c>
      <c r="D29" s="19" t="n">
        <v>132300</v>
      </c>
      <c r="E29" s="20" t="inlineStr">
        <is>
          <t>Salary</t>
        </is>
      </c>
      <c r="F29" s="21" t="n">
        <v>5088.46</v>
      </c>
      <c r="G29" s="21" t="n">
        <v>440.15</v>
      </c>
      <c r="H29" s="21" t="n">
        <v>1312.54</v>
      </c>
      <c r="I29" s="22" t="n">
        <v>3775.92</v>
      </c>
    </row>
    <row r="30" ht="16" customHeight="1">
      <c r="A30" s="23" t="inlineStr">
        <is>
          <t>TRT-0049</t>
        </is>
      </c>
      <c r="B30" s="24" t="inlineStr">
        <is>
          <t>Halston Perevalov</t>
        </is>
      </c>
      <c r="C30" s="25" t="inlineStr">
        <is>
          <t>Sales</t>
        </is>
      </c>
      <c r="D30" s="26" t="n">
        <v>74250</v>
      </c>
      <c r="E30" s="27" t="inlineStr">
        <is>
          <t>Salary</t>
        </is>
      </c>
      <c r="F30" s="28" t="n">
        <v>2855.77</v>
      </c>
      <c r="G30" s="28" t="n">
        <v>247.02</v>
      </c>
      <c r="H30" s="28" t="n">
        <v>771.83</v>
      </c>
      <c r="I30" s="29" t="n">
        <v>2083.94</v>
      </c>
    </row>
    <row r="31" ht="16" customHeight="1">
      <c r="A31" s="16" t="inlineStr">
        <is>
          <t>TRT-0051</t>
        </is>
      </c>
      <c r="B31" s="17" t="inlineStr">
        <is>
          <t>Priyamvada Raghunath</t>
        </is>
      </c>
      <c r="C31" s="18" t="inlineStr">
        <is>
          <t>Engineering</t>
        </is>
      </c>
      <c r="D31" s="19" t="n">
        <v>129800</v>
      </c>
      <c r="E31" s="20" t="inlineStr">
        <is>
          <t>Salary</t>
        </is>
      </c>
      <c r="F31" s="21" t="n">
        <v>4992.31</v>
      </c>
      <c r="G31" s="21" t="n">
        <v>431.83</v>
      </c>
      <c r="H31" s="21" t="n">
        <v>1255.76</v>
      </c>
      <c r="I31" s="22" t="n">
        <v>3736.55</v>
      </c>
    </row>
    <row r="32" ht="16" customHeight="1">
      <c r="A32" s="23" t="inlineStr">
        <is>
          <t>TRT-0052</t>
        </is>
      </c>
      <c r="B32" s="24" t="inlineStr">
        <is>
          <t>Persephone Adeyinka</t>
        </is>
      </c>
      <c r="C32" s="25" t="inlineStr">
        <is>
          <t>Marketing</t>
        </is>
      </c>
      <c r="D32" s="26" t="n">
        <v>103700</v>
      </c>
      <c r="E32" s="27" t="inlineStr">
        <is>
          <t>Salary</t>
        </is>
      </c>
      <c r="F32" s="28" t="n">
        <v>3988.46</v>
      </c>
      <c r="G32" s="28" t="n">
        <v>345</v>
      </c>
      <c r="H32" s="28" t="n">
        <v>1028.39</v>
      </c>
      <c r="I32" s="29" t="n">
        <v>2960.07</v>
      </c>
    </row>
    <row r="33" ht="16" customHeight="1">
      <c r="A33" s="16" t="inlineStr">
        <is>
          <t>TRT-0055</t>
        </is>
      </c>
      <c r="B33" s="17" t="inlineStr">
        <is>
          <t>Ignatius Werahiko</t>
        </is>
      </c>
      <c r="C33" s="18" t="inlineStr">
        <is>
          <t>Engineering</t>
        </is>
      </c>
      <c r="D33" s="19" t="n">
        <v>130450</v>
      </c>
      <c r="E33" s="20" t="inlineStr">
        <is>
          <t>Salary</t>
        </is>
      </c>
      <c r="F33" s="21" t="n">
        <v>5017.31</v>
      </c>
      <c r="G33" s="21" t="n">
        <v>434</v>
      </c>
      <c r="H33" s="21" t="n">
        <v>1261.42</v>
      </c>
      <c r="I33" s="22" t="n">
        <v>3755.89</v>
      </c>
    </row>
    <row r="34" ht="16" customHeight="1">
      <c r="A34" s="23" t="inlineStr">
        <is>
          <t>TRT-0058</t>
        </is>
      </c>
      <c r="B34" s="24" t="inlineStr">
        <is>
          <t>Callum Oyelaran</t>
        </is>
      </c>
      <c r="C34" s="25" t="inlineStr">
        <is>
          <t>Sales</t>
        </is>
      </c>
      <c r="D34" s="26" t="n">
        <v>94750</v>
      </c>
      <c r="E34" s="27" t="inlineStr">
        <is>
          <t>Salary</t>
        </is>
      </c>
      <c r="F34" s="28" t="n">
        <v>3644.23</v>
      </c>
      <c r="G34" s="28" t="n">
        <v>315.23</v>
      </c>
      <c r="H34" s="28" t="n">
        <v>950.42</v>
      </c>
      <c r="I34" s="29" t="n">
        <v>2693.81</v>
      </c>
    </row>
    <row r="35" ht="16" customHeight="1">
      <c r="A35" s="16" t="inlineStr">
        <is>
          <t>TRT-0062</t>
        </is>
      </c>
      <c r="B35" s="17" t="inlineStr">
        <is>
          <t>Tina Jung</t>
        </is>
      </c>
      <c r="C35" s="18" t="inlineStr">
        <is>
          <t>Engineering</t>
        </is>
      </c>
      <c r="D35" s="19" t="n">
        <v>152600</v>
      </c>
      <c r="E35" s="20" t="inlineStr">
        <is>
          <t>Salary</t>
        </is>
      </c>
      <c r="F35" s="21" t="n">
        <v>5869.23</v>
      </c>
      <c r="G35" s="21" t="n">
        <v>507.69</v>
      </c>
      <c r="H35" s="21" t="n">
        <v>1454.38</v>
      </c>
      <c r="I35" s="22" t="n">
        <v>4414.85</v>
      </c>
    </row>
    <row r="36" ht="16" customHeight="1">
      <c r="A36" s="23" t="inlineStr">
        <is>
          <t>TRT-0064</t>
        </is>
      </c>
      <c r="B36" s="24" t="inlineStr">
        <is>
          <t>Marguerite Delacroix-Hahn</t>
        </is>
      </c>
      <c r="C36" s="25" t="inlineStr">
        <is>
          <t>Customer Success</t>
        </is>
      </c>
      <c r="D36" s="26" t="n">
        <v>71377</v>
      </c>
      <c r="E36" s="27" t="inlineStr">
        <is>
          <t>Salary</t>
        </is>
      </c>
      <c r="F36" s="28" t="n">
        <v>2745.27</v>
      </c>
      <c r="G36" s="28" t="n">
        <v>237.47</v>
      </c>
      <c r="H36" s="28" t="n">
        <v>746.8</v>
      </c>
      <c r="I36" s="29" t="n">
        <v>1998.47</v>
      </c>
    </row>
    <row r="37" ht="16" customHeight="1">
      <c r="A37" s="16" t="inlineStr">
        <is>
          <t>TRT-0066</t>
        </is>
      </c>
      <c r="B37" s="17" t="inlineStr">
        <is>
          <t>Tomasz Ekwueme</t>
        </is>
      </c>
      <c r="C37" s="18" t="inlineStr">
        <is>
          <t>Engineering</t>
        </is>
      </c>
      <c r="D37" s="19" t="n">
        <v>179800</v>
      </c>
      <c r="E37" s="20" t="inlineStr">
        <is>
          <t>Salary</t>
        </is>
      </c>
      <c r="F37" s="21" t="n">
        <v>6915.38</v>
      </c>
      <c r="G37" s="21" t="n">
        <v>598.1799999999999</v>
      </c>
      <c r="H37" s="21" t="n">
        <v>1741.33</v>
      </c>
      <c r="I37" s="22" t="n">
        <v>5174.05</v>
      </c>
    </row>
    <row r="38" ht="16" customHeight="1">
      <c r="A38" s="23" t="inlineStr">
        <is>
          <t>TRT-0069</t>
        </is>
      </c>
      <c r="B38" s="24" t="inlineStr">
        <is>
          <t>Xiomara Bekele</t>
        </is>
      </c>
      <c r="C38" s="25" t="inlineStr">
        <is>
          <t>Customer Success</t>
        </is>
      </c>
      <c r="D38" s="26" t="n">
        <v>99300</v>
      </c>
      <c r="E38" s="27" t="inlineStr">
        <is>
          <t>Salary</t>
        </is>
      </c>
      <c r="F38" s="28" t="n">
        <v>3819.23</v>
      </c>
      <c r="G38" s="28" t="n">
        <v>330.36</v>
      </c>
      <c r="H38" s="28" t="n">
        <v>990.0599999999999</v>
      </c>
      <c r="I38" s="29" t="n">
        <v>2829.17</v>
      </c>
    </row>
    <row r="39" ht="16" customHeight="1">
      <c r="A39" s="16" t="inlineStr">
        <is>
          <t>TRT-0071</t>
        </is>
      </c>
      <c r="B39" s="17" t="inlineStr">
        <is>
          <t>Samuel Burkenham</t>
        </is>
      </c>
      <c r="C39" s="18" t="inlineStr">
        <is>
          <t>Product</t>
        </is>
      </c>
      <c r="D39" s="19" t="n">
        <v>81000</v>
      </c>
      <c r="E39" s="20" t="inlineStr">
        <is>
          <t>Salary</t>
        </is>
      </c>
      <c r="F39" s="21" t="n">
        <v>3115.38</v>
      </c>
      <c r="G39" s="21" t="n">
        <v>269.48</v>
      </c>
      <c r="H39" s="21" t="n">
        <v>830.63</v>
      </c>
      <c r="I39" s="22" t="n">
        <v>2284.75</v>
      </c>
    </row>
    <row r="40" ht="16" customHeight="1">
      <c r="A40" s="23" t="inlineStr">
        <is>
          <t>TRT-0074</t>
        </is>
      </c>
      <c r="B40" s="24" t="inlineStr">
        <is>
          <t>Cassius Oyelowo</t>
        </is>
      </c>
      <c r="C40" s="25" t="inlineStr">
        <is>
          <t>Engineering</t>
        </is>
      </c>
      <c r="D40" s="26" t="n">
        <v>111800</v>
      </c>
      <c r="E40" s="27" t="inlineStr">
        <is>
          <t>Salary</t>
        </is>
      </c>
      <c r="F40" s="28" t="n">
        <v>4300</v>
      </c>
      <c r="G40" s="28" t="n">
        <v>371.95</v>
      </c>
      <c r="H40" s="28" t="n">
        <v>998.95</v>
      </c>
      <c r="I40" s="29" t="n">
        <v>3301.05</v>
      </c>
    </row>
    <row r="41" ht="16" customHeight="1">
      <c r="A41" s="16" t="inlineStr">
        <is>
          <t>TRT-0076</t>
        </is>
      </c>
      <c r="B41" s="17" t="inlineStr">
        <is>
          <t>Nikolai Oyeleke</t>
        </is>
      </c>
      <c r="C41" s="18" t="inlineStr">
        <is>
          <t>Product</t>
        </is>
      </c>
      <c r="D41" s="19" t="n">
        <v>151900</v>
      </c>
      <c r="E41" s="20" t="inlineStr">
        <is>
          <t>Salary</t>
        </is>
      </c>
      <c r="F41" s="21" t="n">
        <v>5842.31</v>
      </c>
      <c r="G41" s="21" t="n">
        <v>505.36</v>
      </c>
      <c r="H41" s="21" t="n">
        <v>1448.28</v>
      </c>
      <c r="I41" s="22" t="n">
        <v>4394.03</v>
      </c>
    </row>
    <row r="42" ht="16" customHeight="1">
      <c r="A42" s="23" t="inlineStr">
        <is>
          <t>TRT-0079</t>
        </is>
      </c>
      <c r="B42" s="24" t="inlineStr">
        <is>
          <t>Wren Takahashi-Bell</t>
        </is>
      </c>
      <c r="C42" s="25" t="inlineStr">
        <is>
          <t>Product</t>
        </is>
      </c>
      <c r="D42" s="26" t="n">
        <v>119600</v>
      </c>
      <c r="E42" s="27" t="inlineStr">
        <is>
          <t>Salary</t>
        </is>
      </c>
      <c r="F42" s="28" t="n">
        <v>4600</v>
      </c>
      <c r="G42" s="28" t="n">
        <v>397.9</v>
      </c>
      <c r="H42" s="28" t="n">
        <v>1166.9</v>
      </c>
      <c r="I42" s="29" t="n">
        <v>3433.1</v>
      </c>
    </row>
    <row r="43" ht="16" customHeight="1">
      <c r="A43" s="16" t="inlineStr">
        <is>
          <t>TRT-0083</t>
        </is>
      </c>
      <c r="B43" s="17" t="inlineStr">
        <is>
          <t>Desmond Achterberg</t>
        </is>
      </c>
      <c r="C43" s="18" t="inlineStr">
        <is>
          <t>Customer Success</t>
        </is>
      </c>
      <c r="D43" s="19" t="n">
        <v>93100</v>
      </c>
      <c r="E43" s="20" t="inlineStr">
        <is>
          <t>Salary</t>
        </is>
      </c>
      <c r="F43" s="21" t="n">
        <v>3580.77</v>
      </c>
      <c r="G43" s="21" t="n">
        <v>309.74</v>
      </c>
      <c r="H43" s="21" t="n">
        <v>935.9400000000001</v>
      </c>
      <c r="I43" s="22" t="n">
        <v>2644.83</v>
      </c>
    </row>
    <row r="44" ht="16" customHeight="1">
      <c r="A44" s="23" t="inlineStr">
        <is>
          <t>TRT-0086</t>
        </is>
      </c>
      <c r="B44" s="24" t="inlineStr">
        <is>
          <t>Rosalind Munro</t>
        </is>
      </c>
      <c r="C44" s="25" t="inlineStr">
        <is>
          <t>Sales</t>
        </is>
      </c>
      <c r="D44" s="26" t="n">
        <v>63750</v>
      </c>
      <c r="E44" s="27" t="inlineStr">
        <is>
          <t>Salary</t>
        </is>
      </c>
      <c r="F44" s="28" t="n">
        <v>2451.92</v>
      </c>
      <c r="G44" s="28" t="n">
        <v>212.09</v>
      </c>
      <c r="H44" s="28" t="n">
        <v>680.36</v>
      </c>
      <c r="I44" s="29" t="n">
        <v>1771.56</v>
      </c>
    </row>
    <row r="45" ht="16" customHeight="1">
      <c r="A45" s="16" t="inlineStr">
        <is>
          <t>TRT-0088</t>
        </is>
      </c>
      <c r="B45" s="17" t="inlineStr">
        <is>
          <t>Yolanda Featherstone</t>
        </is>
      </c>
      <c r="C45" s="18" t="inlineStr">
        <is>
          <t>Customer Success</t>
        </is>
      </c>
      <c r="D45" s="19" t="n">
        <v>104000</v>
      </c>
      <c r="E45" s="20" t="inlineStr">
        <is>
          <t>Salary</t>
        </is>
      </c>
      <c r="F45" s="21" t="n">
        <v>4000</v>
      </c>
      <c r="G45" s="21" t="n">
        <v>346</v>
      </c>
      <c r="H45" s="21" t="n">
        <v>1066</v>
      </c>
      <c r="I45" s="22" t="n">
        <v>2934</v>
      </c>
    </row>
    <row r="46" ht="16" customHeight="1">
      <c r="A46" s="23" t="inlineStr">
        <is>
          <t>TRT-0091</t>
        </is>
      </c>
      <c r="B46" s="24" t="inlineStr">
        <is>
          <t>Beatrix Nakagawa</t>
        </is>
      </c>
      <c r="C46" s="25" t="inlineStr">
        <is>
          <t>Engineering</t>
        </is>
      </c>
      <c r="D46" s="26" t="n">
        <v>144500</v>
      </c>
      <c r="E46" s="27" t="inlineStr">
        <is>
          <t>Salary</t>
        </is>
      </c>
      <c r="F46" s="28" t="n">
        <v>5557.69</v>
      </c>
      <c r="G46" s="28" t="n">
        <v>480.74</v>
      </c>
      <c r="H46" s="28" t="n">
        <v>1383.82</v>
      </c>
      <c r="I46" s="29" t="n">
        <v>4173.87</v>
      </c>
    </row>
    <row r="47" ht="16" customHeight="1">
      <c r="A47" s="16" t="inlineStr">
        <is>
          <t>TRT-0093</t>
        </is>
      </c>
      <c r="B47" s="17" t="inlineStr">
        <is>
          <t>Caspian Nwachukwu</t>
        </is>
      </c>
      <c r="C47" s="18" t="inlineStr">
        <is>
          <t>Marketing</t>
        </is>
      </c>
      <c r="D47" s="19" t="n">
        <v>109300</v>
      </c>
      <c r="E47" s="20" t="inlineStr">
        <is>
          <t>Salary</t>
        </is>
      </c>
      <c r="F47" s="21" t="n">
        <v>4203.85</v>
      </c>
      <c r="G47" s="21" t="n">
        <v>363.63</v>
      </c>
      <c r="H47" s="21" t="n">
        <v>1077.17</v>
      </c>
      <c r="I47" s="22" t="n">
        <v>3126.68</v>
      </c>
    </row>
    <row r="48" ht="16" customHeight="1">
      <c r="A48" s="23" t="inlineStr">
        <is>
          <t>TRT-0096</t>
        </is>
      </c>
      <c r="B48" s="24" t="inlineStr">
        <is>
          <t>Delphine Marchetti</t>
        </is>
      </c>
      <c r="C48" s="25" t="inlineStr">
        <is>
          <t>Customer Success</t>
        </is>
      </c>
      <c r="D48" s="26" t="n">
        <v>58000</v>
      </c>
      <c r="E48" s="27" t="inlineStr">
        <is>
          <t>Salary</t>
        </is>
      </c>
      <c r="F48" s="28" t="n">
        <v>2230.77</v>
      </c>
      <c r="G48" s="28" t="n">
        <v>192.96</v>
      </c>
      <c r="H48" s="28" t="n">
        <v>630.27</v>
      </c>
      <c r="I48" s="29" t="n">
        <v>1600.5</v>
      </c>
    </row>
    <row r="49" ht="16" customHeight="1">
      <c r="A49" s="16" t="inlineStr">
        <is>
          <t>TRT-0099</t>
        </is>
      </c>
      <c r="B49" s="17" t="inlineStr">
        <is>
          <t>Leopold Anyanwu</t>
        </is>
      </c>
      <c r="C49" s="18" t="inlineStr">
        <is>
          <t>Customer Success</t>
        </is>
      </c>
      <c r="D49" s="19" t="n">
        <v>77650</v>
      </c>
      <c r="E49" s="20" t="inlineStr">
        <is>
          <t>Salary</t>
        </is>
      </c>
      <c r="F49" s="21" t="n">
        <v>2986.54</v>
      </c>
      <c r="G49" s="21" t="n">
        <v>258.34</v>
      </c>
      <c r="H49" s="21" t="n">
        <v>801.45</v>
      </c>
      <c r="I49" s="22" t="n">
        <v>2185.09</v>
      </c>
    </row>
    <row r="50" ht="16" customHeight="1">
      <c r="A50" s="23" t="inlineStr">
        <is>
          <t>TRT-0102</t>
        </is>
      </c>
      <c r="B50" s="24" t="inlineStr">
        <is>
          <t>Lucía Ferrante</t>
        </is>
      </c>
      <c r="C50" s="25" t="inlineStr">
        <is>
          <t>Engineering</t>
        </is>
      </c>
      <c r="D50" s="26" t="n">
        <v>108900</v>
      </c>
      <c r="E50" s="27" t="inlineStr">
        <is>
          <t>Salary</t>
        </is>
      </c>
      <c r="F50" s="28" t="n">
        <v>4188.46</v>
      </c>
      <c r="G50" s="28" t="n">
        <v>362.3</v>
      </c>
      <c r="H50" s="28" t="n">
        <v>1073.69</v>
      </c>
      <c r="I50" s="29" t="n">
        <v>3114.77</v>
      </c>
    </row>
    <row r="51" ht="16" customHeight="1">
      <c r="A51" s="16" t="inlineStr">
        <is>
          <t>TRT-0105</t>
        </is>
      </c>
      <c r="B51" s="17" t="inlineStr">
        <is>
          <t>Olamide Fitzwilliam</t>
        </is>
      </c>
      <c r="C51" s="18" t="inlineStr">
        <is>
          <t>Engineering</t>
        </is>
      </c>
      <c r="D51" s="19" t="n">
        <v>109200</v>
      </c>
      <c r="E51" s="20" t="inlineStr">
        <is>
          <t>Salary</t>
        </is>
      </c>
      <c r="F51" s="21" t="n">
        <v>4200</v>
      </c>
      <c r="G51" s="21" t="n">
        <v>363.3</v>
      </c>
      <c r="H51" s="21" t="n">
        <v>1076.3</v>
      </c>
      <c r="I51" s="22" t="n">
        <v>3123.7</v>
      </c>
    </row>
    <row r="52" ht="16" customHeight="1">
      <c r="A52" s="23" t="inlineStr">
        <is>
          <t>TRT-0108</t>
        </is>
      </c>
      <c r="B52" s="24" t="inlineStr">
        <is>
          <t>Gideon Marlowe</t>
        </is>
      </c>
      <c r="C52" s="25" t="inlineStr">
        <is>
          <t>Sales</t>
        </is>
      </c>
      <c r="D52" s="26" t="n">
        <v>95850</v>
      </c>
      <c r="E52" s="27" t="inlineStr">
        <is>
          <t>Salary</t>
        </is>
      </c>
      <c r="F52" s="28" t="n">
        <v>3686.54</v>
      </c>
      <c r="G52" s="28" t="n">
        <v>318.89</v>
      </c>
      <c r="H52" s="28" t="n">
        <v>960</v>
      </c>
      <c r="I52" s="29" t="n">
        <v>2726.54</v>
      </c>
    </row>
    <row r="53" ht="16" customHeight="1">
      <c r="A53" s="16" t="inlineStr">
        <is>
          <t>TRT-0110</t>
        </is>
      </c>
      <c r="B53" s="17" t="inlineStr">
        <is>
          <t>Bartholomew Oduya</t>
        </is>
      </c>
      <c r="C53" s="18" t="inlineStr">
        <is>
          <t>Sales</t>
        </is>
      </c>
      <c r="D53" s="19" t="n">
        <v>91200</v>
      </c>
      <c r="E53" s="20" t="inlineStr">
        <is>
          <t>Salary</t>
        </is>
      </c>
      <c r="F53" s="21" t="n">
        <v>3507.69</v>
      </c>
      <c r="G53" s="21" t="n">
        <v>303.42</v>
      </c>
      <c r="H53" s="21" t="n">
        <v>919.49</v>
      </c>
      <c r="I53" s="22" t="n">
        <v>2588.2</v>
      </c>
    </row>
    <row r="54" ht="16" customHeight="1">
      <c r="A54" s="23" t="inlineStr">
        <is>
          <t>TRT-0113</t>
        </is>
      </c>
      <c r="B54" s="24" t="inlineStr">
        <is>
          <t>Winnie Barslanian</t>
        </is>
      </c>
      <c r="C54" s="25" t="inlineStr">
        <is>
          <t>Customer Success</t>
        </is>
      </c>
      <c r="D54" s="26" t="n">
        <v>61900</v>
      </c>
      <c r="E54" s="27" t="inlineStr">
        <is>
          <t>Salary</t>
        </is>
      </c>
      <c r="F54" s="28" t="n">
        <v>2380.77</v>
      </c>
      <c r="G54" s="28" t="n">
        <v>205.94</v>
      </c>
      <c r="H54" s="28" t="n">
        <v>664.24</v>
      </c>
      <c r="I54" s="29" t="n">
        <v>1716.53</v>
      </c>
    </row>
    <row r="55" ht="16" customHeight="1">
      <c r="A55" s="16" t="inlineStr">
        <is>
          <t>TRT-0117</t>
        </is>
      </c>
      <c r="B55" s="17" t="inlineStr">
        <is>
          <t>Belaviv Luk</t>
        </is>
      </c>
      <c r="C55" s="18" t="inlineStr">
        <is>
          <t>Engineering</t>
        </is>
      </c>
      <c r="D55" s="19" t="n">
        <v>138000</v>
      </c>
      <c r="E55" s="20" t="inlineStr">
        <is>
          <t>Salary</t>
        </is>
      </c>
      <c r="F55" s="21" t="n">
        <v>5307.69</v>
      </c>
      <c r="G55" s="21" t="n">
        <v>459.12</v>
      </c>
      <c r="H55" s="21" t="n">
        <v>1377.19</v>
      </c>
      <c r="I55" s="22" t="n">
        <v>3930.5</v>
      </c>
    </row>
    <row r="56" ht="16" customHeight="1">
      <c r="A56" s="23" t="inlineStr">
        <is>
          <t>TRT-0119</t>
        </is>
      </c>
      <c r="B56" s="24" t="inlineStr">
        <is>
          <t>Hectori Bung</t>
        </is>
      </c>
      <c r="C56" s="25" t="inlineStr">
        <is>
          <t>Engineering</t>
        </is>
      </c>
      <c r="D56" s="26" t="n">
        <v>134000</v>
      </c>
      <c r="E56" s="27" t="inlineStr">
        <is>
          <t>Salary</t>
        </is>
      </c>
      <c r="F56" s="28" t="n">
        <v>5153.85</v>
      </c>
      <c r="G56" s="28" t="n">
        <v>445.81</v>
      </c>
      <c r="H56" s="28" t="n">
        <v>1292.35</v>
      </c>
      <c r="I56" s="29" t="n">
        <v>3861.5</v>
      </c>
    </row>
    <row r="57" ht="16" customHeight="1">
      <c r="A57" s="16" t="inlineStr">
        <is>
          <t>TRT-0122</t>
        </is>
      </c>
      <c r="B57" s="17" t="inlineStr">
        <is>
          <t>Amara Osei-Tutu</t>
        </is>
      </c>
      <c r="C57" s="18" t="inlineStr">
        <is>
          <t>Engineering</t>
        </is>
      </c>
      <c r="D57" s="19" t="n">
        <v>125600</v>
      </c>
      <c r="E57" s="20" t="inlineStr">
        <is>
          <t>Salary</t>
        </is>
      </c>
      <c r="F57" s="21" t="n">
        <v>4830.77</v>
      </c>
      <c r="G57" s="21" t="n">
        <v>417.86</v>
      </c>
      <c r="H57" s="21" t="n">
        <v>1219.17</v>
      </c>
      <c r="I57" s="22" t="n">
        <v>3611.6</v>
      </c>
    </row>
    <row r="58" ht="16" customHeight="1">
      <c r="A58" s="23" t="inlineStr">
        <is>
          <t>TRT-0128</t>
        </is>
      </c>
      <c r="B58" s="24" t="inlineStr">
        <is>
          <t>Beenan Lanik</t>
        </is>
      </c>
      <c r="C58" s="25" t="inlineStr">
        <is>
          <t>Engineering</t>
        </is>
      </c>
      <c r="D58" s="26" t="n">
        <v>129750</v>
      </c>
      <c r="E58" s="27" t="inlineStr">
        <is>
          <t>Salary</t>
        </is>
      </c>
      <c r="F58" s="28" t="n">
        <v>4990.38</v>
      </c>
      <c r="G58" s="28" t="n">
        <v>431.67</v>
      </c>
      <c r="H58" s="28" t="n">
        <v>1255.32</v>
      </c>
      <c r="I58" s="29" t="n">
        <v>3735.06</v>
      </c>
    </row>
    <row r="59" ht="16" customHeight="1">
      <c r="A59" s="16" t="inlineStr">
        <is>
          <t>TRT-0131</t>
        </is>
      </c>
      <c r="B59" s="17" t="inlineStr">
        <is>
          <t>Aurelio Banda</t>
        </is>
      </c>
      <c r="C59" s="18" t="inlineStr">
        <is>
          <t>Marketing</t>
        </is>
      </c>
      <c r="D59" s="19" t="n">
        <v>76850</v>
      </c>
      <c r="E59" s="20" t="inlineStr">
        <is>
          <t>Salary</t>
        </is>
      </c>
      <c r="F59" s="21" t="n">
        <v>2955.77</v>
      </c>
      <c r="G59" s="21" t="n">
        <v>255.68</v>
      </c>
      <c r="H59" s="21" t="n">
        <v>794.48</v>
      </c>
      <c r="I59" s="22" t="n">
        <v>2161.29</v>
      </c>
    </row>
    <row r="60" ht="16" customHeight="1">
      <c r="A60" s="23" t="inlineStr">
        <is>
          <t>TRT-0135</t>
        </is>
      </c>
      <c r="B60" s="24" t="inlineStr">
        <is>
          <t>Solveig Okonjo</t>
        </is>
      </c>
      <c r="C60" s="25" t="inlineStr">
        <is>
          <t>Customer Success</t>
        </is>
      </c>
      <c r="D60" s="26" t="n">
        <v>94600</v>
      </c>
      <c r="E60" s="27" t="inlineStr">
        <is>
          <t>Salary</t>
        </is>
      </c>
      <c r="F60" s="28" t="n">
        <v>3638.46</v>
      </c>
      <c r="G60" s="28" t="n">
        <v>314.73</v>
      </c>
      <c r="H60" s="28" t="n">
        <v>949.11</v>
      </c>
      <c r="I60" s="29" t="n">
        <v>2689.35</v>
      </c>
    </row>
    <row r="61" ht="16" customHeight="1">
      <c r="A61" s="16" t="inlineStr">
        <is>
          <t>TRT-0141</t>
        </is>
      </c>
      <c r="B61" s="17" t="inlineStr">
        <is>
          <t>Beatriz Quintanilla</t>
        </is>
      </c>
      <c r="C61" s="18" t="inlineStr">
        <is>
          <t>Customer Success</t>
        </is>
      </c>
      <c r="D61" s="19" t="n">
        <v>47840</v>
      </c>
      <c r="E61" s="20" t="inlineStr">
        <is>
          <t>Salary</t>
        </is>
      </c>
      <c r="F61" s="21" t="n">
        <v>1840</v>
      </c>
      <c r="G61" s="21" t="n">
        <v>159.16</v>
      </c>
      <c r="H61" s="21" t="n">
        <v>541.76</v>
      </c>
      <c r="I61" s="22" t="n">
        <v>1298.24</v>
      </c>
    </row>
    <row r="62" ht="16" customHeight="1">
      <c r="A62" s="23" t="inlineStr">
        <is>
          <t>TRT-0150</t>
        </is>
      </c>
      <c r="B62" s="24" t="inlineStr">
        <is>
          <t>Ingra Zolberg</t>
        </is>
      </c>
      <c r="C62" s="25" t="inlineStr">
        <is>
          <t>Marketing</t>
        </is>
      </c>
      <c r="D62" s="26" t="n">
        <v>62450</v>
      </c>
      <c r="E62" s="27" t="inlineStr">
        <is>
          <t>Salary</t>
        </is>
      </c>
      <c r="F62" s="28" t="n">
        <v>2401.92</v>
      </c>
      <c r="G62" s="28" t="n">
        <v>207.77</v>
      </c>
      <c r="H62" s="28" t="n">
        <v>569.03</v>
      </c>
      <c r="I62" s="29" t="n">
        <v>1832.89</v>
      </c>
    </row>
    <row r="63" ht="24" customHeight="1">
      <c r="A63" s="40" t="inlineStr">
        <is>
          <t>TOTAL</t>
        </is>
      </c>
      <c r="B63" s="38" t="n"/>
      <c r="C63" s="38" t="n"/>
      <c r="D63" s="38" t="n"/>
      <c r="E63" s="38" t="n"/>
      <c r="F63" s="32">
        <f>SUM(F11:F62)</f>
        <v>235258.72</v>
      </c>
      <c r="G63" s="32">
        <f>SUM(G11:G62)</f>
        <v>20349.919999999995</v>
      </c>
      <c r="H63" s="32">
        <f>SUM(H11:H62)</f>
        <v>60000.99999999999</v>
      </c>
      <c r="I63" s="32">
        <f>SUM(I11:I62)</f>
        <v>175257.72000000006</v>
      </c>
    </row>
    <row r="64" ht="10" customHeight="1"/>
    <row r="65" ht="18" customHeight="1">
      <c r="A65" s="33" t="inlineStr">
        <is>
          <t>Employees Paid:</t>
        </is>
      </c>
      <c r="B65" s="41">
        <f>COUNTA(A11:A62)</f>
        <v>52</v>
      </c>
      <c r="C65" s="39" t="n"/>
      <c r="D65" s="39" t="n"/>
      <c r="E65" s="39" t="n"/>
      <c r="F65" s="39" t="n"/>
      <c r="G65" s="39" t="n"/>
      <c r="H65" s="39" t="n"/>
      <c r="I65" s="39" t="n"/>
    </row>
    <row r="66" ht="18" customHeight="1">
      <c r="A66" s="33" t="inlineStr">
        <is>
          <t>Basis of Calculation:</t>
        </is>
      </c>
      <c r="B66" s="41" t="inlineStr">
        <is>
          <t>Annual salary divided by 26 pay periods</t>
        </is>
      </c>
      <c r="C66" s="39" t="n"/>
      <c r="D66" s="39" t="n"/>
      <c r="E66" s="39" t="n"/>
      <c r="F66" s="39" t="n"/>
      <c r="G66" s="39" t="n"/>
      <c r="H66" s="39" t="n"/>
      <c r="I66" s="39" t="n"/>
    </row>
    <row r="67" ht="18" customHeight="1">
      <c r="A67" s="33" t="inlineStr">
        <is>
          <t>Employer Taxes:</t>
        </is>
      </c>
      <c r="B67" s="41" t="inlineStr">
        <is>
          <t>FICA (SS + Medicare) + FUTA + TX SUTA</t>
        </is>
      </c>
      <c r="C67" s="39" t="n"/>
      <c r="D67" s="39" t="n"/>
      <c r="E67" s="39" t="n"/>
      <c r="F67" s="39" t="n"/>
      <c r="G67" s="39" t="n"/>
      <c r="H67" s="39" t="n"/>
      <c r="I67" s="39" t="n"/>
    </row>
    <row r="68" ht="18" customHeight="1">
      <c r="A68" s="33" t="inlineStr">
        <is>
          <t>Deductions:</t>
        </is>
      </c>
      <c r="B68" s="41" t="inlineStr">
        <is>
          <t>Employee-share medical premium per elected tier</t>
        </is>
      </c>
      <c r="C68" s="39" t="n"/>
      <c r="D68" s="39" t="n"/>
      <c r="E68" s="39" t="n"/>
      <c r="F68" s="39" t="n"/>
      <c r="G68" s="39" t="n"/>
      <c r="H68" s="39" t="n"/>
      <c r="I68" s="39" t="n"/>
    </row>
    <row r="69" ht="18" customHeight="1">
      <c r="A69" s="33" t="inlineStr">
        <is>
          <t>Approved By:</t>
        </is>
      </c>
      <c r="B69" s="41" t="inlineStr">
        <is>
          <t>Krystale Jumawan, Finance Manager</t>
        </is>
      </c>
      <c r="C69" s="39" t="n"/>
      <c r="D69" s="39" t="n"/>
      <c r="E69" s="39" t="n"/>
      <c r="F69" s="39" t="n"/>
      <c r="G69" s="39" t="n"/>
      <c r="H69" s="39" t="n"/>
      <c r="I69" s="39" t="n"/>
    </row>
  </sheetData>
  <mergeCells count="14">
    <mergeCell ref="B68:I68"/>
    <mergeCell ref="B7:I7"/>
    <mergeCell ref="B69:I69"/>
    <mergeCell ref="B6:I6"/>
    <mergeCell ref="B2:I2"/>
    <mergeCell ref="A1:I1"/>
    <mergeCell ref="A63:E63"/>
    <mergeCell ref="B3:I3"/>
    <mergeCell ref="B5:I5"/>
    <mergeCell ref="B66:I66"/>
    <mergeCell ref="B67:I67"/>
    <mergeCell ref="B65:I65"/>
    <mergeCell ref="B8:I8"/>
    <mergeCell ref="B4:I4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2026-07-10T00:00:00Z</dcterms:created>
  <dcterms:modified xmlns:dcterms="http://purl.org/dc/terms/" xmlns:xsi="http://www.w3.org/2001/XMLSchema-instance" xsi:type="dcterms:W3CDTF">2026-09-17T06:42:10Z</dcterms:modified>
  <dc:creator xmlns:dc="http://purl.org/dc/elements/1.1/">Krystale Jumawan</dc:creator>
  <cp:lastModifiedBy>Krystale Jumawan</cp:lastModifiedBy>
</cp:coreProperties>
</file>