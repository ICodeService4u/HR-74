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Balances" sheetId="2" state="visible" r:id="rId2"/>
    <sheet xmlns:r="http://schemas.openxmlformats.org/officeDocument/2006/relationships" name="Requests" sheetId="3" state="visible" r:id="rId3"/>
  </sheets>
  <definedNames>
    <definedName name="_xlnm._FilterDatabase" localSheetId="1" hidden="1">'Balances'!$A$1:$G$58</definedName>
    <definedName name="_xlnm._FilterDatabase" localSheetId="2" hidden="1">'Requests'!$A$1:$F$25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mm/dd/yyyy"/>
  </numFmts>
  <fonts count="13">
    <font>
      <name val="Calibri"/>
      <family val="2"/>
      <color theme="1"/>
      <sz val="11"/>
      <scheme val="minor"/>
    </font>
    <font>
      <name val="Calibri"/>
      <b val="1"/>
      <color rgb="001F4E78"/>
      <sz val="18"/>
    </font>
    <font>
      <b val="1"/>
    </font>
    <font>
      <name val="Calibri"/>
      <b val="1"/>
      <color rgb="00FFFFFF"/>
      <sz val="11"/>
    </font>
    <font>
      <b val="1"/>
      <color rgb="00FFFFFF"/>
    </font>
    <font>
      <name val="Helvetica"/>
      <b val="1"/>
      <color rgb="00FFFFFF"/>
      <sz val="22"/>
    </font>
    <font>
      <name val="Helvetica"/>
      <b val="1"/>
      <color rgb="001A2238"/>
      <sz val="11"/>
    </font>
    <font>
      <name val="Helvetica"/>
      <color rgb="003A416B"/>
      <sz val="11"/>
    </font>
    <font>
      <name val="Helvetica"/>
      <b val="1"/>
      <color rgb="00FFFFFF"/>
      <sz val="11"/>
    </font>
    <font>
      <name val="Helvetica"/>
      <color rgb="003A416B"/>
      <sz val="10"/>
    </font>
    <font>
      <name val="Helvetica"/>
      <color rgb="001A2238"/>
      <sz val="10"/>
    </font>
    <font>
      <name val="Helvetica"/>
      <i val="1"/>
      <color rgb="003A416B"/>
      <sz val="10"/>
    </font>
    <font>
      <name val="Helvetica"/>
      <b val="1"/>
      <color rgb="001A2238"/>
      <sz val="10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D9E1F2"/>
      </patternFill>
    </fill>
    <fill>
      <patternFill patternType="solid">
        <fgColor rgb="001A2238"/>
      </patternFill>
    </fill>
    <fill>
      <patternFill patternType="solid">
        <fgColor rgb="00FAF6EE"/>
      </patternFill>
    </fill>
    <fill>
      <patternFill patternType="solid">
        <fgColor rgb="00FFFFFF"/>
      </patternFill>
    </fill>
    <fill>
      <patternFill patternType="solid">
        <fgColor rgb="00EFE7D6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/>
      <bottom style="thin">
        <color rgb="00B89B5E"/>
      </bottom>
    </border>
    <border>
      <left/>
      <right/>
      <top/>
      <bottom style="hair">
        <color rgb="00D9D4C7"/>
      </bottom>
    </border>
    <border>
      <left/>
      <right/>
      <top/>
      <bottom style="medium">
        <color rgb="00B89B5E"/>
      </bottom>
    </border>
    <border>
      <left/>
      <right/>
      <top style="thin">
        <color rgb="00B89B5E"/>
      </top>
      <bottom style="double">
        <color rgb="001A2238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1" pivotButton="0" quotePrefix="0" xfId="0"/>
    <xf numFmtId="164" fontId="0" fillId="3" borderId="1" pivotButton="0" quotePrefix="0" xfId="0"/>
    <xf numFmtId="164" fontId="2" fillId="3" borderId="1" pivotButton="0" quotePrefix="0" xfId="0"/>
    <xf numFmtId="0" fontId="0" fillId="0" borderId="1" pivotButton="0" quotePrefix="0" xfId="0"/>
    <xf numFmtId="164" fontId="0" fillId="0" borderId="1" pivotButton="0" quotePrefix="0" xfId="0"/>
    <xf numFmtId="164" fontId="2" fillId="0" borderId="1" pivotButton="0" quotePrefix="0" xfId="0"/>
    <xf numFmtId="0" fontId="2" fillId="4" borderId="1" pivotButton="0" quotePrefix="0" xfId="0"/>
    <xf numFmtId="0" fontId="0" fillId="4" borderId="1" pivotButton="0" quotePrefix="0" xfId="0"/>
    <xf numFmtId="164" fontId="2" fillId="4" borderId="1" pivotButton="0" quotePrefix="0" xfId="0"/>
    <xf numFmtId="0" fontId="4" fillId="2" borderId="1" applyAlignment="1" pivotButton="0" quotePrefix="0" xfId="0">
      <alignment horizontal="center" vertical="center"/>
    </xf>
    <xf numFmtId="165" fontId="0" fillId="3" borderId="1" pivotButton="0" quotePrefix="0" xfId="0"/>
    <xf numFmtId="2" fontId="0" fillId="3" borderId="1" pivotButton="0" quotePrefix="0" xfId="0"/>
    <xf numFmtId="165" fontId="0" fillId="0" borderId="1" pivotButton="0" quotePrefix="0" xfId="0"/>
    <xf numFmtId="2" fontId="0" fillId="0" borderId="1" pivotButton="0" quotePrefix="0" xfId="0"/>
    <xf numFmtId="2" fontId="2" fillId="4" borderId="1" pivotButton="0" quotePrefix="0" xfId="0"/>
    <xf numFmtId="0" fontId="5" fillId="5" borderId="0" applyAlignment="1" pivotButton="0" quotePrefix="0" xfId="0">
      <alignment horizontal="left" vertical="center" indent="1"/>
    </xf>
    <xf numFmtId="0" fontId="0" fillId="5" borderId="0" pivotButton="0" quotePrefix="0" xfId="0"/>
    <xf numFmtId="0" fontId="6" fillId="6" borderId="2" applyAlignment="1" pivotButton="0" quotePrefix="0" xfId="0">
      <alignment horizontal="left" vertical="center" indent="1"/>
    </xf>
    <xf numFmtId="0" fontId="7" fillId="7" borderId="3" applyAlignment="1" pivotButton="0" quotePrefix="0" xfId="0">
      <alignment horizontal="left" vertical="center" indent="1"/>
    </xf>
    <xf numFmtId="0" fontId="8" fillId="5" borderId="4" applyAlignment="1" pivotButton="0" quotePrefix="0" xfId="0">
      <alignment horizontal="center" vertical="center" wrapText="1"/>
    </xf>
    <xf numFmtId="0" fontId="9" fillId="6" borderId="3" applyAlignment="1" pivotButton="0" quotePrefix="0" xfId="0">
      <alignment horizontal="left" vertical="center" indent="1"/>
    </xf>
    <xf numFmtId="0" fontId="10" fillId="6" borderId="3" applyAlignment="1" pivotButton="0" quotePrefix="0" xfId="0">
      <alignment horizontal="left" vertical="center" indent="1"/>
    </xf>
    <xf numFmtId="0" fontId="11" fillId="6" borderId="3" applyAlignment="1" pivotButton="0" quotePrefix="0" xfId="0">
      <alignment horizontal="left" vertical="center" indent="1"/>
    </xf>
    <xf numFmtId="4" fontId="10" fillId="6" borderId="3" applyAlignment="1" pivotButton="0" quotePrefix="0" xfId="0">
      <alignment horizontal="right" vertical="center" indent="1"/>
    </xf>
    <xf numFmtId="4" fontId="12" fillId="6" borderId="3" applyAlignment="1" pivotButton="0" quotePrefix="0" xfId="0">
      <alignment horizontal="right" vertical="center" indent="1"/>
    </xf>
    <xf numFmtId="0" fontId="9" fillId="7" borderId="3" applyAlignment="1" pivotButton="0" quotePrefix="0" xfId="0">
      <alignment horizontal="left" vertical="center" indent="1"/>
    </xf>
    <xf numFmtId="0" fontId="10" fillId="7" borderId="3" applyAlignment="1" pivotButton="0" quotePrefix="0" xfId="0">
      <alignment horizontal="left" vertical="center" indent="1"/>
    </xf>
    <xf numFmtId="0" fontId="11" fillId="7" borderId="3" applyAlignment="1" pivotButton="0" quotePrefix="0" xfId="0">
      <alignment horizontal="left" vertical="center" indent="1"/>
    </xf>
    <xf numFmtId="4" fontId="10" fillId="7" borderId="3" applyAlignment="1" pivotButton="0" quotePrefix="0" xfId="0">
      <alignment horizontal="right" vertical="center" indent="1"/>
    </xf>
    <xf numFmtId="4" fontId="12" fillId="7" borderId="3" applyAlignment="1" pivotButton="0" quotePrefix="0" xfId="0">
      <alignment horizontal="right" vertical="center" indent="1"/>
    </xf>
    <xf numFmtId="165" fontId="10" fillId="6" borderId="3" applyAlignment="1" pivotButton="0" quotePrefix="0" xfId="0">
      <alignment horizontal="center" vertical="center"/>
    </xf>
    <xf numFmtId="3" fontId="10" fillId="6" borderId="3" applyAlignment="1" pivotButton="0" quotePrefix="0" xfId="0">
      <alignment horizontal="right" vertical="center" indent="1"/>
    </xf>
    <xf numFmtId="165" fontId="10" fillId="7" borderId="3" applyAlignment="1" pivotButton="0" quotePrefix="0" xfId="0">
      <alignment horizontal="center" vertical="center"/>
    </xf>
    <xf numFmtId="3" fontId="10" fillId="7" borderId="3" applyAlignment="1" pivotButton="0" quotePrefix="0" xfId="0">
      <alignment horizontal="right" vertical="center" indent="1"/>
    </xf>
    <xf numFmtId="0" fontId="6" fillId="8" borderId="5" applyAlignment="1" pivotButton="0" quotePrefix="0" xfId="0">
      <alignment horizontal="left" vertical="center" indent="1"/>
    </xf>
    <xf numFmtId="0" fontId="6" fillId="8" borderId="5" applyAlignment="1" pivotButton="0" quotePrefix="0" xfId="0">
      <alignment horizontal="center" vertical="center"/>
    </xf>
    <xf numFmtId="3" fontId="6" fillId="8" borderId="5" applyAlignment="1" pivotButton="0" quotePrefix="0" xfId="0">
      <alignment horizontal="righ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52" customWidth="1" min="2" max="2"/>
  </cols>
  <sheetData>
    <row r="1" ht="46" customHeight="1">
      <c r="A1" s="19" t="inlineStr">
        <is>
          <t>HRIS Time Off Report</t>
        </is>
      </c>
    </row>
    <row r="2" ht="14" customHeight="1"/>
    <row r="3" ht="24" customHeight="1">
      <c r="A3" s="21" t="inlineStr">
        <is>
          <t>Export Date</t>
        </is>
      </c>
      <c r="B3" s="22" t="inlineStr">
        <is>
          <t>08/31/2026</t>
        </is>
      </c>
    </row>
    <row r="4" ht="24" customHeight="1">
      <c r="A4" s="21" t="inlineStr">
        <is>
          <t>Exported By</t>
        </is>
      </c>
      <c r="B4" s="22" t="inlineStr">
        <is>
          <t>Casey Ouk (casey@troutlyanalytics.com)</t>
        </is>
      </c>
    </row>
    <row r="5" ht="24" customHeight="1">
      <c r="A5" s="21" t="inlineStr">
        <is>
          <t>System</t>
        </is>
      </c>
      <c r="B5" s="22" t="inlineStr">
        <is>
          <t>BambooHR</t>
        </is>
      </c>
    </row>
    <row r="6" ht="24" customHeight="1">
      <c r="A6" s="21" t="inlineStr">
        <is>
          <t>Period</t>
        </is>
      </c>
      <c r="B6" s="22" t="inlineStr">
        <is>
          <t>07/01/2026 – 08/31/2026</t>
        </is>
      </c>
    </row>
  </sheetData>
  <mergeCells count="1">
    <mergeCell ref="A1:B1"/>
  </mergeCells>
  <pageMargins left="0.9" right="0.9" top="1.1" bottom="1.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8" customWidth="1" min="3" max="3"/>
    <col width="18" customWidth="1" min="4" max="4"/>
    <col width="20" customWidth="1" min="5" max="5"/>
    <col width="18" customWidth="1" min="6" max="6"/>
    <col width="18" customWidth="1" min="7" max="7"/>
  </cols>
  <sheetData>
    <row r="1" ht="30" customHeight="1">
      <c r="A1" s="23" t="inlineStr">
        <is>
          <t>EmployeeNumber</t>
        </is>
      </c>
      <c r="B1" s="23" t="inlineStr">
        <is>
          <t>Name</t>
        </is>
      </c>
      <c r="C1" s="23" t="inlineStr">
        <is>
          <t>Policy</t>
        </is>
      </c>
      <c r="D1" s="23" t="inlineStr">
        <is>
          <t>BalanceAt070126</t>
        </is>
      </c>
      <c r="E1" s="23" t="inlineStr">
        <is>
          <t>AccruedSince070126</t>
        </is>
      </c>
      <c r="F1" s="23" t="inlineStr">
        <is>
          <t>UsedSince070126</t>
        </is>
      </c>
      <c r="G1" s="23" t="inlineStr">
        <is>
          <t>CurrentBalance</t>
        </is>
      </c>
    </row>
    <row r="2" ht="18" customHeight="1">
      <c r="A2" s="24" t="inlineStr">
        <is>
          <t>TRT-0001</t>
        </is>
      </c>
      <c r="B2" s="25" t="inlineStr">
        <is>
          <t>Michael Labeson</t>
        </is>
      </c>
      <c r="C2" s="26" t="inlineStr">
        <is>
          <t>Standard PTO</t>
        </is>
      </c>
      <c r="D2" s="27" t="n">
        <v>38.25</v>
      </c>
      <c r="E2" s="27" t="n">
        <v>24.6152</v>
      </c>
      <c r="F2" s="27" t="n">
        <v>40</v>
      </c>
      <c r="G2" s="28">
        <f>D2+E2-F2</f>
        <v>22.8652</v>
      </c>
    </row>
    <row r="3" ht="18" customHeight="1">
      <c r="A3" s="29" t="inlineStr">
        <is>
          <t>TRT-0002</t>
        </is>
      </c>
      <c r="B3" s="30" t="inlineStr">
        <is>
          <t>Sora Jackson</t>
        </is>
      </c>
      <c r="C3" s="31" t="inlineStr">
        <is>
          <t>Standard PTO</t>
        </is>
      </c>
      <c r="D3" s="32" t="n">
        <v>38</v>
      </c>
      <c r="E3" s="32" t="n">
        <v>24.6152</v>
      </c>
      <c r="F3" s="32" t="n">
        <v>0</v>
      </c>
      <c r="G3" s="33">
        <f>D3+E3-F3</f>
        <v>62.6152</v>
      </c>
    </row>
    <row r="4" ht="18" customHeight="1">
      <c r="A4" s="24" t="inlineStr">
        <is>
          <t>TRT-0005</t>
        </is>
      </c>
      <c r="B4" s="25" t="inlineStr">
        <is>
          <t>Mikelle Hosana</t>
        </is>
      </c>
      <c r="C4" s="26" t="inlineStr">
        <is>
          <t>Standard PTO</t>
        </is>
      </c>
      <c r="D4" s="27" t="n">
        <v>92.5</v>
      </c>
      <c r="E4" s="27" t="n">
        <v>24.6152</v>
      </c>
      <c r="F4" s="27" t="n">
        <v>0</v>
      </c>
      <c r="G4" s="28">
        <f>D4+E4-F4</f>
        <v>117.1152</v>
      </c>
    </row>
    <row r="5" ht="18" customHeight="1">
      <c r="A5" s="29" t="inlineStr">
        <is>
          <t>TRT-0009</t>
        </is>
      </c>
      <c r="B5" s="30" t="inlineStr">
        <is>
          <t>Krystale Jumawan</t>
        </is>
      </c>
      <c r="C5" s="31" t="inlineStr">
        <is>
          <t>Standard PTO</t>
        </is>
      </c>
      <c r="D5" s="32" t="n">
        <v>84</v>
      </c>
      <c r="E5" s="32" t="n">
        <v>24.6152</v>
      </c>
      <c r="F5" s="32" t="n">
        <v>0</v>
      </c>
      <c r="G5" s="33">
        <f>D5+E5-F5</f>
        <v>108.6152</v>
      </c>
    </row>
    <row r="6" ht="18" customHeight="1">
      <c r="A6" s="24" t="inlineStr">
        <is>
          <t>TRT-0012</t>
        </is>
      </c>
      <c r="B6" s="25" t="inlineStr">
        <is>
          <t>Jessica Ko</t>
        </is>
      </c>
      <c r="C6" s="26" t="inlineStr">
        <is>
          <t>Standard PTO</t>
        </is>
      </c>
      <c r="D6" s="27" t="n">
        <v>71.5</v>
      </c>
      <c r="E6" s="27" t="n">
        <v>18.4615</v>
      </c>
      <c r="F6" s="27" t="n">
        <v>40</v>
      </c>
      <c r="G6" s="28">
        <f>D6+E6-F6</f>
        <v>49.9615</v>
      </c>
    </row>
    <row r="7" ht="18" customHeight="1">
      <c r="A7" s="29" t="inlineStr">
        <is>
          <t>TRT-0014</t>
        </is>
      </c>
      <c r="B7" s="30" t="inlineStr">
        <is>
          <t>Rohan Iyer</t>
        </is>
      </c>
      <c r="C7" s="31" t="inlineStr">
        <is>
          <t>Standard PTO</t>
        </is>
      </c>
      <c r="D7" s="32" t="n">
        <v>66</v>
      </c>
      <c r="E7" s="32" t="n">
        <v>18.4615</v>
      </c>
      <c r="F7" s="32" t="n">
        <v>0</v>
      </c>
      <c r="G7" s="33">
        <f>D7+E7-F7</f>
        <v>84.4615</v>
      </c>
    </row>
    <row r="8" ht="18" customHeight="1">
      <c r="A8" s="24" t="inlineStr">
        <is>
          <t>TRT-0018</t>
        </is>
      </c>
      <c r="B8" s="25" t="inlineStr">
        <is>
          <t>Marisela Thornbury</t>
        </is>
      </c>
      <c r="C8" s="26" t="inlineStr">
        <is>
          <t>Standard PTO</t>
        </is>
      </c>
      <c r="D8" s="27" t="n">
        <v>63.25</v>
      </c>
      <c r="E8" s="27" t="n">
        <v>24.6154</v>
      </c>
      <c r="F8" s="27" t="n">
        <v>0</v>
      </c>
      <c r="G8" s="28">
        <f>D8+E8-F8</f>
        <v>87.8654</v>
      </c>
    </row>
    <row r="9" ht="18" customHeight="1">
      <c r="A9" s="29" t="inlineStr">
        <is>
          <t>TRT-0021</t>
        </is>
      </c>
      <c r="B9" s="30" t="inlineStr">
        <is>
          <t>Edith Bustamante</t>
        </is>
      </c>
      <c r="C9" s="31" t="inlineStr">
        <is>
          <t>Standard PTO</t>
        </is>
      </c>
      <c r="D9" s="32" t="n">
        <v>74</v>
      </c>
      <c r="E9" s="32" t="n">
        <v>18.4615</v>
      </c>
      <c r="F9" s="32" t="n">
        <v>16</v>
      </c>
      <c r="G9" s="33">
        <f>D9+E9-F9</f>
        <v>76.4615</v>
      </c>
    </row>
    <row r="10" ht="18" customHeight="1">
      <c r="A10" s="24" t="inlineStr">
        <is>
          <t>TRT-0023</t>
        </is>
      </c>
      <c r="B10" s="25" t="inlineStr">
        <is>
          <t>Maeve Oyinlola</t>
        </is>
      </c>
      <c r="C10" s="26" t="inlineStr">
        <is>
          <t>Standard PTO</t>
        </is>
      </c>
      <c r="D10" s="27" t="n">
        <v>60.5</v>
      </c>
      <c r="E10" s="27" t="n">
        <v>18.4615</v>
      </c>
      <c r="F10" s="27" t="n">
        <v>0</v>
      </c>
      <c r="G10" s="28">
        <f>D10+E10-F10</f>
        <v>78.9615</v>
      </c>
    </row>
    <row r="11" ht="18" customHeight="1">
      <c r="A11" s="29" t="inlineStr">
        <is>
          <t>TRT-0027</t>
        </is>
      </c>
      <c r="B11" s="30" t="inlineStr">
        <is>
          <t>Kenji Abubakar</t>
        </is>
      </c>
      <c r="C11" s="31" t="inlineStr">
        <is>
          <t>Standard PTO</t>
        </is>
      </c>
      <c r="D11" s="32" t="n">
        <v>24.25</v>
      </c>
      <c r="E11" s="32" t="n">
        <v>18.4615</v>
      </c>
      <c r="F11" s="32" t="n">
        <v>16</v>
      </c>
      <c r="G11" s="33">
        <f>D11+E11-F11</f>
        <v>26.7115</v>
      </c>
    </row>
    <row r="12" ht="18" customHeight="1">
      <c r="A12" s="24" t="inlineStr">
        <is>
          <t>TRT-0029</t>
        </is>
      </c>
      <c r="B12" s="25" t="inlineStr">
        <is>
          <t>Emeka Thorsen</t>
        </is>
      </c>
      <c r="C12" s="26" t="inlineStr">
        <is>
          <t>Standard PTO</t>
        </is>
      </c>
      <c r="D12" s="27" t="n">
        <v>57</v>
      </c>
      <c r="E12" s="27" t="n">
        <v>18.4615</v>
      </c>
      <c r="F12" s="27" t="n">
        <v>8</v>
      </c>
      <c r="G12" s="28">
        <f>D12+E12-F12</f>
        <v>67.4615</v>
      </c>
    </row>
    <row r="13" ht="18" customHeight="1">
      <c r="A13" s="29" t="inlineStr">
        <is>
          <t>TRT-0031</t>
        </is>
      </c>
      <c r="B13" s="30" t="inlineStr">
        <is>
          <t>Zephyr Adebayo</t>
        </is>
      </c>
      <c r="C13" s="31" t="inlineStr">
        <is>
          <t>Standard PTO</t>
        </is>
      </c>
      <c r="D13" s="32" t="n">
        <v>52</v>
      </c>
      <c r="E13" s="32" t="n">
        <v>18.4615</v>
      </c>
      <c r="F13" s="32" t="n">
        <v>32</v>
      </c>
      <c r="G13" s="33">
        <f>D13+E13-F13</f>
        <v>38.4615</v>
      </c>
    </row>
    <row r="14" ht="18" customHeight="1">
      <c r="A14" s="24" t="inlineStr">
        <is>
          <t>TRT-0034</t>
        </is>
      </c>
      <c r="B14" s="25" t="inlineStr">
        <is>
          <t>Luka Odum</t>
        </is>
      </c>
      <c r="C14" s="26" t="inlineStr">
        <is>
          <t>Standard PTO</t>
        </is>
      </c>
      <c r="D14" s="27" t="n">
        <v>12.5</v>
      </c>
      <c r="E14" s="27" t="n">
        <v>18.4615</v>
      </c>
      <c r="F14" s="27" t="n">
        <v>0</v>
      </c>
      <c r="G14" s="28">
        <f>D14+E14-F14</f>
        <v>30.9615</v>
      </c>
    </row>
    <row r="15" ht="18" customHeight="1">
      <c r="A15" s="29" t="inlineStr">
        <is>
          <t>TRT-0037</t>
        </is>
      </c>
      <c r="B15" s="30" t="inlineStr">
        <is>
          <t>Piper Athanasoulis</t>
        </is>
      </c>
      <c r="C15" s="31" t="inlineStr">
        <is>
          <t>Standard PTO</t>
        </is>
      </c>
      <c r="D15" s="32" t="n">
        <v>30</v>
      </c>
      <c r="E15" s="32" t="n">
        <v>18.4616</v>
      </c>
      <c r="F15" s="32" t="n">
        <v>0</v>
      </c>
      <c r="G15" s="33">
        <f>D15+E15-F15</f>
        <v>48.461600000000004</v>
      </c>
    </row>
    <row r="16" ht="18" customHeight="1">
      <c r="A16" s="24" t="inlineStr">
        <is>
          <t>TRT-0040</t>
        </is>
      </c>
      <c r="B16" s="25" t="inlineStr">
        <is>
          <t>Ilse Van der Kolk</t>
        </is>
      </c>
      <c r="C16" s="26" t="inlineStr">
        <is>
          <t>Standard PTO</t>
        </is>
      </c>
      <c r="D16" s="27" t="n">
        <v>49.5</v>
      </c>
      <c r="E16" s="27" t="n">
        <v>18.4616</v>
      </c>
      <c r="F16" s="27" t="n">
        <v>0</v>
      </c>
      <c r="G16" s="28">
        <f>D16+E16-F16</f>
        <v>67.9616</v>
      </c>
    </row>
    <row r="17" ht="18" customHeight="1">
      <c r="A17" s="29" t="inlineStr">
        <is>
          <t>TRT-0043</t>
        </is>
      </c>
      <c r="B17" s="30" t="inlineStr">
        <is>
          <t>Oren Kastellanos</t>
        </is>
      </c>
      <c r="C17" s="31" t="inlineStr">
        <is>
          <t>Standard PTO</t>
        </is>
      </c>
      <c r="D17" s="32" t="n">
        <v>43.5</v>
      </c>
      <c r="E17" s="32" t="n">
        <v>12.3076</v>
      </c>
      <c r="F17" s="32" t="n">
        <v>24</v>
      </c>
      <c r="G17" s="33">
        <f>D17+E17-F17</f>
        <v>31.8076</v>
      </c>
    </row>
    <row r="18" ht="18" customHeight="1">
      <c r="A18" s="24" t="inlineStr">
        <is>
          <t>TRT-0045</t>
        </is>
      </c>
      <c r="B18" s="25" t="inlineStr">
        <is>
          <t>Thaddeus Ilunga</t>
        </is>
      </c>
      <c r="C18" s="26" t="inlineStr">
        <is>
          <t>Standard PTO</t>
        </is>
      </c>
      <c r="D18" s="27" t="n">
        <v>29.5</v>
      </c>
      <c r="E18" s="27" t="n">
        <v>18.4616</v>
      </c>
      <c r="F18" s="27" t="n">
        <v>40</v>
      </c>
      <c r="G18" s="28">
        <f>D18+E18-F18</f>
        <v>7.961600000000004</v>
      </c>
    </row>
    <row r="19" ht="18" customHeight="1">
      <c r="A19" s="29" t="inlineStr">
        <is>
          <t>TRT-0047</t>
        </is>
      </c>
      <c r="B19" s="30" t="inlineStr">
        <is>
          <t>Sunniva Mbeki</t>
        </is>
      </c>
      <c r="C19" s="31" t="inlineStr">
        <is>
          <t>Standard PTO</t>
        </is>
      </c>
      <c r="D19" s="32" t="n">
        <v>19</v>
      </c>
      <c r="E19" s="32" t="n">
        <v>18.4616</v>
      </c>
      <c r="F19" s="32" t="n">
        <v>32</v>
      </c>
      <c r="G19" s="33">
        <f>D19+E19-F19</f>
        <v>5.461600000000004</v>
      </c>
    </row>
    <row r="20" ht="18" customHeight="1">
      <c r="A20" s="24" t="inlineStr">
        <is>
          <t>TRT-0049</t>
        </is>
      </c>
      <c r="B20" s="25" t="inlineStr">
        <is>
          <t>Halston Perevalov</t>
        </is>
      </c>
      <c r="C20" s="26" t="inlineStr">
        <is>
          <t>Standard PTO</t>
        </is>
      </c>
      <c r="D20" s="27" t="n">
        <v>22.5</v>
      </c>
      <c r="E20" s="27" t="n">
        <v>12.3076</v>
      </c>
      <c r="F20" s="27" t="n">
        <v>0</v>
      </c>
      <c r="G20" s="28">
        <f>D20+E20-F20</f>
        <v>34.8076</v>
      </c>
    </row>
    <row r="21" ht="18" customHeight="1">
      <c r="A21" s="29" t="inlineStr">
        <is>
          <t>TRT-0051</t>
        </is>
      </c>
      <c r="B21" s="30" t="inlineStr">
        <is>
          <t>Priyamvada Raghunath</t>
        </is>
      </c>
      <c r="C21" s="31" t="inlineStr">
        <is>
          <t>Standard PTO</t>
        </is>
      </c>
      <c r="D21" s="32" t="n">
        <v>12.25</v>
      </c>
      <c r="E21" s="32" t="n">
        <v>12.3076</v>
      </c>
      <c r="F21" s="32" t="n">
        <v>24</v>
      </c>
      <c r="G21" s="33">
        <f>D21+E21-F21</f>
        <v>0.5576000000000008</v>
      </c>
    </row>
    <row r="22" ht="18" customHeight="1">
      <c r="A22" s="24" t="inlineStr">
        <is>
          <t>TRT-0052</t>
        </is>
      </c>
      <c r="B22" s="25" t="inlineStr">
        <is>
          <t>Persephone Adeyinka</t>
        </is>
      </c>
      <c r="C22" s="26" t="inlineStr">
        <is>
          <t>Standard PTO</t>
        </is>
      </c>
      <c r="D22" s="27" t="n">
        <v>10</v>
      </c>
      <c r="E22" s="27" t="n">
        <v>18.4616</v>
      </c>
      <c r="F22" s="27" t="n">
        <v>24</v>
      </c>
      <c r="G22" s="28">
        <f>D22+E22-F22</f>
        <v>4.461600000000001</v>
      </c>
    </row>
    <row r="23" ht="18" customHeight="1">
      <c r="A23" s="29" t="inlineStr">
        <is>
          <t>TRT-0055</t>
        </is>
      </c>
      <c r="B23" s="30" t="inlineStr">
        <is>
          <t>Ignatius Werahiko</t>
        </is>
      </c>
      <c r="C23" s="31" t="inlineStr">
        <is>
          <t>Standard PTO</t>
        </is>
      </c>
      <c r="D23" s="32" t="n">
        <v>13.5</v>
      </c>
      <c r="E23" s="32" t="n">
        <v>18.4616</v>
      </c>
      <c r="F23" s="32" t="n">
        <v>16</v>
      </c>
      <c r="G23" s="33">
        <f>D23+E23-F23</f>
        <v>15.9616</v>
      </c>
    </row>
    <row r="24" ht="18" customHeight="1">
      <c r="A24" s="24" t="inlineStr">
        <is>
          <t>TRT-0058</t>
        </is>
      </c>
      <c r="B24" s="25" t="inlineStr">
        <is>
          <t>Callum Oyelaran</t>
        </is>
      </c>
      <c r="C24" s="26" t="inlineStr">
        <is>
          <t>Standard PTO</t>
        </is>
      </c>
      <c r="D24" s="27" t="n">
        <v>22.5</v>
      </c>
      <c r="E24" s="27" t="n">
        <v>12.3076</v>
      </c>
      <c r="F24" s="27" t="n">
        <v>0</v>
      </c>
      <c r="G24" s="28">
        <f>D24+E24-F24</f>
        <v>34.8076</v>
      </c>
    </row>
    <row r="25" ht="18" customHeight="1">
      <c r="A25" s="29" t="inlineStr">
        <is>
          <t>TRT-0062</t>
        </is>
      </c>
      <c r="B25" s="30" t="inlineStr">
        <is>
          <t>Tina Jung</t>
        </is>
      </c>
      <c r="C25" s="31" t="inlineStr">
        <is>
          <t>Standard PTO</t>
        </is>
      </c>
      <c r="D25" s="32" t="n">
        <v>10.75</v>
      </c>
      <c r="E25" s="32" t="n">
        <v>18.4616</v>
      </c>
      <c r="F25" s="32" t="n">
        <v>8</v>
      </c>
      <c r="G25" s="33">
        <f>D25+E25-F25</f>
        <v>21.2116</v>
      </c>
    </row>
    <row r="26" ht="18" customHeight="1">
      <c r="A26" s="24" t="inlineStr">
        <is>
          <t>TRT-0064</t>
        </is>
      </c>
      <c r="B26" s="25" t="inlineStr">
        <is>
          <t>Marguerite Delacroix-Hahn</t>
        </is>
      </c>
      <c r="C26" s="26" t="inlineStr">
        <is>
          <t>Standard PTO</t>
        </is>
      </c>
      <c r="D26" s="27" t="n">
        <v>52</v>
      </c>
      <c r="E26" s="27" t="n">
        <v>18.4616</v>
      </c>
      <c r="F26" s="27" t="n">
        <v>0</v>
      </c>
      <c r="G26" s="28">
        <f>D26+E26-F26</f>
        <v>70.4616</v>
      </c>
    </row>
    <row r="27" ht="18" customHeight="1">
      <c r="A27" s="29" t="inlineStr">
        <is>
          <t>TRT-0066</t>
        </is>
      </c>
      <c r="B27" s="30" t="inlineStr">
        <is>
          <t>Tomasz Ekwueme</t>
        </is>
      </c>
      <c r="C27" s="31" t="inlineStr">
        <is>
          <t>Standard PTO</t>
        </is>
      </c>
      <c r="D27" s="32" t="n">
        <v>9.5</v>
      </c>
      <c r="E27" s="32" t="n">
        <v>18.4616</v>
      </c>
      <c r="F27" s="32" t="n">
        <v>0</v>
      </c>
      <c r="G27" s="33">
        <f>D27+E27-F27</f>
        <v>27.9616</v>
      </c>
    </row>
    <row r="28" ht="18" customHeight="1">
      <c r="A28" s="24" t="inlineStr">
        <is>
          <t>TRT-0069</t>
        </is>
      </c>
      <c r="B28" s="25" t="inlineStr">
        <is>
          <t>Xiomara Bekele</t>
        </is>
      </c>
      <c r="C28" s="26" t="inlineStr">
        <is>
          <t>Standard PTO</t>
        </is>
      </c>
      <c r="D28" s="27" t="n">
        <v>27.75</v>
      </c>
      <c r="E28" s="27" t="n">
        <v>18.4616</v>
      </c>
      <c r="F28" s="27" t="n">
        <v>0</v>
      </c>
      <c r="G28" s="28">
        <f>D28+E28-F28</f>
        <v>46.211600000000004</v>
      </c>
    </row>
    <row r="29" ht="18" customHeight="1">
      <c r="A29" s="29" t="inlineStr">
        <is>
          <t>TRT-0071</t>
        </is>
      </c>
      <c r="B29" s="30" t="inlineStr">
        <is>
          <t>Samuel Burkenham</t>
        </is>
      </c>
      <c r="C29" s="31" t="inlineStr">
        <is>
          <t>Standard PTO</t>
        </is>
      </c>
      <c r="D29" s="32" t="n">
        <v>27.25</v>
      </c>
      <c r="E29" s="32" t="n">
        <v>12.3076</v>
      </c>
      <c r="F29" s="32" t="n">
        <v>0</v>
      </c>
      <c r="G29" s="33">
        <f>D29+E29-F29</f>
        <v>39.5576</v>
      </c>
    </row>
    <row r="30" ht="18" customHeight="1">
      <c r="A30" s="24" t="inlineStr">
        <is>
          <t>TRT-0074</t>
        </is>
      </c>
      <c r="B30" s="25" t="inlineStr">
        <is>
          <t>Cassius Oyelowo</t>
        </is>
      </c>
      <c r="C30" s="26" t="inlineStr">
        <is>
          <t>Standard PTO</t>
        </is>
      </c>
      <c r="D30" s="27" t="n">
        <v>25.75</v>
      </c>
      <c r="E30" s="27" t="n">
        <v>18.4616</v>
      </c>
      <c r="F30" s="27" t="n">
        <v>0</v>
      </c>
      <c r="G30" s="28">
        <f>D30+E30-F30</f>
        <v>44.211600000000004</v>
      </c>
    </row>
    <row r="31" ht="18" customHeight="1">
      <c r="A31" s="29" t="inlineStr">
        <is>
          <t>TRT-0076</t>
        </is>
      </c>
      <c r="B31" s="30" t="inlineStr">
        <is>
          <t>Nikolai Oyeleke</t>
        </is>
      </c>
      <c r="C31" s="31" t="inlineStr">
        <is>
          <t>Standard PTO</t>
        </is>
      </c>
      <c r="D31" s="32" t="n">
        <v>24.75</v>
      </c>
      <c r="E31" s="32" t="n">
        <v>18.4616</v>
      </c>
      <c r="F31" s="32" t="n">
        <v>8</v>
      </c>
      <c r="G31" s="33">
        <f>D31+E31-F31</f>
        <v>35.211600000000004</v>
      </c>
    </row>
    <row r="32" ht="18" customHeight="1">
      <c r="A32" s="24" t="inlineStr">
        <is>
          <t>TRT-0079</t>
        </is>
      </c>
      <c r="B32" s="25" t="inlineStr">
        <is>
          <t>Wren Takahashi-Bell</t>
        </is>
      </c>
      <c r="C32" s="26" t="inlineStr">
        <is>
          <t>Standard PTO</t>
        </is>
      </c>
      <c r="D32" s="27" t="n">
        <v>6.5</v>
      </c>
      <c r="E32" s="27" t="n">
        <v>12.3076</v>
      </c>
      <c r="F32" s="27" t="n">
        <v>0</v>
      </c>
      <c r="G32" s="28">
        <f>D32+E32-F32</f>
        <v>18.8076</v>
      </c>
    </row>
    <row r="33" ht="18" customHeight="1">
      <c r="A33" s="29" t="inlineStr">
        <is>
          <t>TRT-0083</t>
        </is>
      </c>
      <c r="B33" s="30" t="inlineStr">
        <is>
          <t>Desmond Achterberg</t>
        </is>
      </c>
      <c r="C33" s="31" t="inlineStr">
        <is>
          <t>Standard PTO</t>
        </is>
      </c>
      <c r="D33" s="32" t="n">
        <v>32.25</v>
      </c>
      <c r="E33" s="32" t="n">
        <v>12.3076</v>
      </c>
      <c r="F33" s="32" t="n">
        <v>32</v>
      </c>
      <c r="G33" s="33">
        <f>D33+E33-F33</f>
        <v>12.5576</v>
      </c>
    </row>
    <row r="34" ht="18" customHeight="1">
      <c r="A34" s="24" t="inlineStr">
        <is>
          <t>TRT-0086</t>
        </is>
      </c>
      <c r="B34" s="25" t="inlineStr">
        <is>
          <t>Rosalind Munro</t>
        </is>
      </c>
      <c r="C34" s="26" t="inlineStr">
        <is>
          <t>Standard PTO</t>
        </is>
      </c>
      <c r="D34" s="27" t="n">
        <v>33.5</v>
      </c>
      <c r="E34" s="27" t="n">
        <v>18.4616</v>
      </c>
      <c r="F34" s="27" t="n">
        <v>0</v>
      </c>
      <c r="G34" s="28">
        <f>D34+E34-F34</f>
        <v>51.961600000000004</v>
      </c>
    </row>
    <row r="35" ht="18" customHeight="1">
      <c r="A35" s="29" t="inlineStr">
        <is>
          <t>TRT-0088</t>
        </is>
      </c>
      <c r="B35" s="30" t="inlineStr">
        <is>
          <t>Yolanda Featherstone</t>
        </is>
      </c>
      <c r="C35" s="31" t="inlineStr">
        <is>
          <t>Standard PTO</t>
        </is>
      </c>
      <c r="D35" s="32" t="n">
        <v>34.75</v>
      </c>
      <c r="E35" s="32" t="n">
        <v>18.4616</v>
      </c>
      <c r="F35" s="32" t="n">
        <v>40</v>
      </c>
      <c r="G35" s="33">
        <f>D35+E35-F35</f>
        <v>13.211600000000004</v>
      </c>
    </row>
    <row r="36" ht="18" customHeight="1">
      <c r="A36" s="24" t="inlineStr">
        <is>
          <t>TRT-0091</t>
        </is>
      </c>
      <c r="B36" s="25" t="inlineStr">
        <is>
          <t>Beatrix Nakagawa</t>
        </is>
      </c>
      <c r="C36" s="26" t="inlineStr">
        <is>
          <t>Standard PTO</t>
        </is>
      </c>
      <c r="D36" s="27" t="n">
        <v>7.25</v>
      </c>
      <c r="E36" s="27" t="n">
        <v>18.4616</v>
      </c>
      <c r="F36" s="27" t="n">
        <v>0</v>
      </c>
      <c r="G36" s="28">
        <f>D36+E36-F36</f>
        <v>25.7116</v>
      </c>
    </row>
    <row r="37" ht="18" customHeight="1">
      <c r="A37" s="29" t="inlineStr">
        <is>
          <t>TRT-0093</t>
        </is>
      </c>
      <c r="B37" s="30" t="inlineStr">
        <is>
          <t>Caspian Nwachukwu</t>
        </is>
      </c>
      <c r="C37" s="31" t="inlineStr">
        <is>
          <t>Standard PTO</t>
        </is>
      </c>
      <c r="D37" s="32" t="n">
        <v>33.75</v>
      </c>
      <c r="E37" s="32" t="n">
        <v>18.4616</v>
      </c>
      <c r="F37" s="32" t="n">
        <v>32</v>
      </c>
      <c r="G37" s="33">
        <f>D37+E37-F37</f>
        <v>20.211600000000004</v>
      </c>
    </row>
    <row r="38" ht="18" customHeight="1">
      <c r="A38" s="24" t="inlineStr">
        <is>
          <t>TRT-0096</t>
        </is>
      </c>
      <c r="B38" s="25" t="inlineStr">
        <is>
          <t>Delphine Marchetti</t>
        </is>
      </c>
      <c r="C38" s="26" t="inlineStr">
        <is>
          <t>Standard PTO</t>
        </is>
      </c>
      <c r="D38" s="27" t="n">
        <v>24.25</v>
      </c>
      <c r="E38" s="27" t="n">
        <v>12.3076</v>
      </c>
      <c r="F38" s="27" t="n">
        <v>16</v>
      </c>
      <c r="G38" s="28">
        <f>D38+E38-F38</f>
        <v>20.5576</v>
      </c>
    </row>
    <row r="39" ht="18" customHeight="1">
      <c r="A39" s="29" t="inlineStr">
        <is>
          <t>TRT-0099</t>
        </is>
      </c>
      <c r="B39" s="30" t="inlineStr">
        <is>
          <t>Leopold Anyanwu</t>
        </is>
      </c>
      <c r="C39" s="31" t="inlineStr">
        <is>
          <t>Standard PTO</t>
        </is>
      </c>
      <c r="D39" s="32" t="n">
        <v>24.75</v>
      </c>
      <c r="E39" s="32" t="n">
        <v>12.3077</v>
      </c>
      <c r="F39" s="32" t="n">
        <v>0</v>
      </c>
      <c r="G39" s="33">
        <f>D39+E39-F39</f>
        <v>37.0577</v>
      </c>
    </row>
    <row r="40" ht="18" customHeight="1">
      <c r="A40" s="24" t="inlineStr">
        <is>
          <t>TRT-0102</t>
        </is>
      </c>
      <c r="B40" s="25" t="inlineStr">
        <is>
          <t>Lucía Ferrante</t>
        </is>
      </c>
      <c r="C40" s="26" t="inlineStr">
        <is>
          <t>Standard PTO</t>
        </is>
      </c>
      <c r="D40" s="27" t="n">
        <v>12</v>
      </c>
      <c r="E40" s="27" t="n">
        <v>12.3076</v>
      </c>
      <c r="F40" s="27" t="n">
        <v>0</v>
      </c>
      <c r="G40" s="28">
        <f>D40+E40-F40</f>
        <v>24.3076</v>
      </c>
    </row>
    <row r="41" ht="18" customHeight="1">
      <c r="A41" s="29" t="inlineStr">
        <is>
          <t>TRT-0105</t>
        </is>
      </c>
      <c r="B41" s="30" t="inlineStr">
        <is>
          <t>Olamide Fitzwilliam</t>
        </is>
      </c>
      <c r="C41" s="31" t="inlineStr">
        <is>
          <t>Standard PTO</t>
        </is>
      </c>
      <c r="D41" s="32" t="n">
        <v>27.5</v>
      </c>
      <c r="E41" s="32" t="n">
        <v>12.3077</v>
      </c>
      <c r="F41" s="32" t="n">
        <v>24</v>
      </c>
      <c r="G41" s="33">
        <f>D41+E41-F41</f>
        <v>15.807699999999997</v>
      </c>
    </row>
    <row r="42" ht="18" customHeight="1">
      <c r="A42" s="24" t="inlineStr">
        <is>
          <t>TRT-0108</t>
        </is>
      </c>
      <c r="B42" s="25" t="inlineStr">
        <is>
          <t>Gideon Marlowe</t>
        </is>
      </c>
      <c r="C42" s="26" t="inlineStr">
        <is>
          <t>Standard PTO</t>
        </is>
      </c>
      <c r="D42" s="27" t="n">
        <v>37</v>
      </c>
      <c r="E42" s="27" t="n">
        <v>12.3077</v>
      </c>
      <c r="F42" s="27" t="n">
        <v>8</v>
      </c>
      <c r="G42" s="28">
        <f>D42+E42-F42</f>
        <v>41.3077</v>
      </c>
    </row>
    <row r="43" ht="18" customHeight="1">
      <c r="A43" s="29" t="inlineStr">
        <is>
          <t>TRT-0110</t>
        </is>
      </c>
      <c r="B43" s="30" t="inlineStr">
        <is>
          <t>Bartholomew Oduya</t>
        </is>
      </c>
      <c r="C43" s="31" t="inlineStr">
        <is>
          <t>Standard PTO</t>
        </is>
      </c>
      <c r="D43" s="32" t="n">
        <v>11.5</v>
      </c>
      <c r="E43" s="32" t="n">
        <v>12.3076</v>
      </c>
      <c r="F43" s="32" t="n">
        <v>0</v>
      </c>
      <c r="G43" s="33">
        <f>D43+E43-F43</f>
        <v>23.8076</v>
      </c>
    </row>
    <row r="44" ht="18" customHeight="1">
      <c r="A44" s="24" t="inlineStr">
        <is>
          <t>TRT-0113</t>
        </is>
      </c>
      <c r="B44" s="25" t="inlineStr">
        <is>
          <t>Winnie Barslanian</t>
        </is>
      </c>
      <c r="C44" s="26" t="inlineStr">
        <is>
          <t>Standard PTO</t>
        </is>
      </c>
      <c r="D44" s="27" t="n">
        <v>14.25</v>
      </c>
      <c r="E44" s="27" t="n">
        <v>12.3077</v>
      </c>
      <c r="F44" s="27" t="n">
        <v>0</v>
      </c>
      <c r="G44" s="28">
        <f>D44+E44-F44</f>
        <v>26.5577</v>
      </c>
    </row>
    <row r="45" ht="18" customHeight="1">
      <c r="A45" s="29" t="inlineStr">
        <is>
          <t>TRT-0117</t>
        </is>
      </c>
      <c r="B45" s="30" t="inlineStr">
        <is>
          <t>Belaviv Luk</t>
        </is>
      </c>
      <c r="C45" s="31" t="inlineStr">
        <is>
          <t>Standard PTO</t>
        </is>
      </c>
      <c r="D45" s="32" t="n">
        <v>22</v>
      </c>
      <c r="E45" s="32" t="n">
        <v>18.4615</v>
      </c>
      <c r="F45" s="32" t="n">
        <v>32</v>
      </c>
      <c r="G45" s="33">
        <f>D45+E45-F45</f>
        <v>8.461500000000001</v>
      </c>
    </row>
    <row r="46" ht="18" customHeight="1">
      <c r="A46" s="24" t="inlineStr">
        <is>
          <t>TRT-0119</t>
        </is>
      </c>
      <c r="B46" s="25" t="inlineStr">
        <is>
          <t>Hectori Bung</t>
        </is>
      </c>
      <c r="C46" s="26" t="inlineStr">
        <is>
          <t>Standard PTO</t>
        </is>
      </c>
      <c r="D46" s="27" t="n">
        <v>17.75</v>
      </c>
      <c r="E46" s="27" t="n">
        <v>12.3076</v>
      </c>
      <c r="F46" s="27" t="n">
        <v>8</v>
      </c>
      <c r="G46" s="28">
        <f>D46+E46-F46</f>
        <v>22.0576</v>
      </c>
    </row>
    <row r="47" ht="18" customHeight="1">
      <c r="A47" s="29" t="inlineStr">
        <is>
          <t>TRT-0122</t>
        </is>
      </c>
      <c r="B47" s="30" t="inlineStr">
        <is>
          <t>Amara Osei-Tutu</t>
        </is>
      </c>
      <c r="C47" s="31" t="inlineStr">
        <is>
          <t>Standard PTO</t>
        </is>
      </c>
      <c r="D47" s="32" t="n">
        <v>19</v>
      </c>
      <c r="E47" s="32" t="n">
        <v>12.3076</v>
      </c>
      <c r="F47" s="32" t="n">
        <v>0</v>
      </c>
      <c r="G47" s="33">
        <f>D47+E47-F47</f>
        <v>31.3076</v>
      </c>
    </row>
    <row r="48" ht="18" customHeight="1">
      <c r="A48" s="24" t="inlineStr">
        <is>
          <t>TRT-0128</t>
        </is>
      </c>
      <c r="B48" s="25" t="inlineStr">
        <is>
          <t>Beenan Lanik</t>
        </is>
      </c>
      <c r="C48" s="26" t="inlineStr">
        <is>
          <t>Standard PTO</t>
        </is>
      </c>
      <c r="D48" s="27" t="n">
        <v>7.75</v>
      </c>
      <c r="E48" s="27" t="n">
        <v>12.3076</v>
      </c>
      <c r="F48" s="27" t="n">
        <v>0</v>
      </c>
      <c r="G48" s="28">
        <f>D48+E48-F48</f>
        <v>20.0576</v>
      </c>
    </row>
    <row r="49" ht="18" customHeight="1">
      <c r="A49" s="29" t="inlineStr">
        <is>
          <t>TRT-0131</t>
        </is>
      </c>
      <c r="B49" s="30" t="inlineStr">
        <is>
          <t>Aurelio Banda</t>
        </is>
      </c>
      <c r="C49" s="31" t="inlineStr">
        <is>
          <t>Standard PTO</t>
        </is>
      </c>
      <c r="D49" s="32" t="n">
        <v>32</v>
      </c>
      <c r="E49" s="32" t="n">
        <v>12.3076</v>
      </c>
      <c r="F49" s="32" t="n">
        <v>40</v>
      </c>
      <c r="G49" s="33">
        <f>D49+E49-F49</f>
        <v>4.307600000000001</v>
      </c>
    </row>
    <row r="50" ht="18" customHeight="1">
      <c r="A50" s="24" t="inlineStr">
        <is>
          <t>TRT-0135</t>
        </is>
      </c>
      <c r="B50" s="25" t="inlineStr">
        <is>
          <t>Solveig Okonjo</t>
        </is>
      </c>
      <c r="C50" s="26" t="inlineStr">
        <is>
          <t>Standard PTO</t>
        </is>
      </c>
      <c r="D50" s="27" t="n">
        <v>37</v>
      </c>
      <c r="E50" s="27" t="n">
        <v>12.3076</v>
      </c>
      <c r="F50" s="27" t="n">
        <v>0</v>
      </c>
      <c r="G50" s="28">
        <f>D50+E50-F50</f>
        <v>49.3076</v>
      </c>
    </row>
    <row r="51" ht="18" customHeight="1">
      <c r="A51" s="29" t="inlineStr">
        <is>
          <t>TRT-0141</t>
        </is>
      </c>
      <c r="B51" s="30" t="inlineStr">
        <is>
          <t>Beatriz Quintanilla</t>
        </is>
      </c>
      <c r="C51" s="31" t="inlineStr">
        <is>
          <t>Standard PTO</t>
        </is>
      </c>
      <c r="D51" s="32" t="n">
        <v>20.75</v>
      </c>
      <c r="E51" s="32" t="n">
        <v>12.3076</v>
      </c>
      <c r="F51" s="32" t="n">
        <v>0</v>
      </c>
      <c r="G51" s="33">
        <f>D51+E51-F51</f>
        <v>33.0576</v>
      </c>
    </row>
    <row r="52" ht="18" customHeight="1">
      <c r="A52" s="24" t="inlineStr">
        <is>
          <t>TRT-0150</t>
        </is>
      </c>
      <c r="B52" s="25" t="inlineStr">
        <is>
          <t>Ingra Zolberg</t>
        </is>
      </c>
      <c r="C52" s="26" t="inlineStr">
        <is>
          <t>Standard PTO</t>
        </is>
      </c>
      <c r="D52" s="27" t="n">
        <v>0</v>
      </c>
      <c r="E52" s="27" t="n">
        <v>12.3076</v>
      </c>
      <c r="F52" s="27" t="n">
        <v>0</v>
      </c>
      <c r="G52" s="28">
        <f>D52+E52-F52</f>
        <v>12.3076</v>
      </c>
    </row>
    <row r="53" ht="18" customHeight="1">
      <c r="A53" s="29" t="inlineStr">
        <is>
          <t>CTR-2001</t>
        </is>
      </c>
      <c r="B53" s="30" t="inlineStr">
        <is>
          <t>Henrike Sato</t>
        </is>
      </c>
      <c r="C53" s="31" t="inlineStr">
        <is>
          <t>Standard PTO</t>
        </is>
      </c>
      <c r="D53" s="32" t="n">
        <v>0</v>
      </c>
      <c r="E53" s="32" t="n">
        <v>12.3076</v>
      </c>
      <c r="F53" s="32" t="n">
        <v>0</v>
      </c>
      <c r="G53" s="33">
        <f>D53+E53-F53</f>
        <v>12.3076</v>
      </c>
    </row>
    <row r="54" ht="18" customHeight="1">
      <c r="A54" s="24" t="inlineStr">
        <is>
          <t>CTR-2002</t>
        </is>
      </c>
      <c r="B54" s="25" t="inlineStr">
        <is>
          <t>Piet Vanterpool</t>
        </is>
      </c>
      <c r="C54" s="26" t="inlineStr">
        <is>
          <t>Standard PTO</t>
        </is>
      </c>
      <c r="D54" s="27" t="n">
        <v>0</v>
      </c>
      <c r="E54" s="27" t="n">
        <v>12.3076</v>
      </c>
      <c r="F54" s="27" t="n">
        <v>0</v>
      </c>
      <c r="G54" s="28">
        <f>D54+E54-F54</f>
        <v>12.3076</v>
      </c>
    </row>
    <row r="55" ht="18" customHeight="1">
      <c r="A55" s="29" t="inlineStr">
        <is>
          <t>CTR-2003</t>
        </is>
      </c>
      <c r="B55" s="30" t="inlineStr">
        <is>
          <t>Ines Farahani-Boyd</t>
        </is>
      </c>
      <c r="C55" s="31" t="inlineStr">
        <is>
          <t>Standard PTO</t>
        </is>
      </c>
      <c r="D55" s="32" t="n">
        <v>0</v>
      </c>
      <c r="E55" s="32" t="n">
        <v>12.3076</v>
      </c>
      <c r="F55" s="32" t="n">
        <v>0</v>
      </c>
      <c r="G55" s="33">
        <f>D55+E55-F55</f>
        <v>12.3076</v>
      </c>
    </row>
    <row r="56" ht="18" customHeight="1">
      <c r="A56" s="24" t="inlineStr">
        <is>
          <t>CTR-2004</t>
        </is>
      </c>
      <c r="B56" s="25" t="inlineStr">
        <is>
          <t>Obadiah Winterbourne</t>
        </is>
      </c>
      <c r="C56" s="26" t="inlineStr">
        <is>
          <t>Standard PTO</t>
        </is>
      </c>
      <c r="D56" s="27" t="n">
        <v>0</v>
      </c>
      <c r="E56" s="27" t="n">
        <v>12.3076</v>
      </c>
      <c r="F56" s="27" t="n">
        <v>0</v>
      </c>
      <c r="G56" s="28">
        <f>D56+E56-F56</f>
        <v>12.3076</v>
      </c>
    </row>
    <row r="57" ht="18" customHeight="1">
      <c r="A57" s="29" t="inlineStr">
        <is>
          <t>TRT-0154</t>
        </is>
      </c>
      <c r="B57" s="30" t="inlineStr">
        <is>
          <t>Anjelina Brocollini</t>
        </is>
      </c>
      <c r="C57" s="31" t="inlineStr">
        <is>
          <t>Standard PTO</t>
        </is>
      </c>
      <c r="D57" s="32" t="n">
        <v>0</v>
      </c>
      <c r="E57" s="32" t="n">
        <v>3.0769</v>
      </c>
      <c r="F57" s="32" t="n">
        <v>0</v>
      </c>
      <c r="G57" s="33">
        <f>D57+E57-F57</f>
        <v>3.0769</v>
      </c>
    </row>
    <row r="58" ht="18" customHeight="1">
      <c r="A58" s="24" t="inlineStr">
        <is>
          <t>TRT-0156</t>
        </is>
      </c>
      <c r="B58" s="25" t="inlineStr">
        <is>
          <t>Casey Ouk</t>
        </is>
      </c>
      <c r="C58" s="26" t="inlineStr">
        <is>
          <t>Standard PTO</t>
        </is>
      </c>
      <c r="D58" s="27" t="n">
        <v>0</v>
      </c>
      <c r="E58" s="27" t="n">
        <v>0</v>
      </c>
      <c r="F58" s="27" t="n">
        <v>0</v>
      </c>
      <c r="G58" s="28">
        <f>D58+E58-F58</f>
        <v>0</v>
      </c>
    </row>
    <row r="59" ht="18" customHeight="1">
      <c r="A59" s="29" t="inlineStr">
        <is>
          <t>TOTAL</t>
        </is>
      </c>
      <c r="B59" s="30" t="n"/>
      <c r="C59" s="31" t="n"/>
      <c r="D59" s="32">
        <f>SUM(D2:D58)</f>
        <v>1619.25</v>
      </c>
      <c r="E59" s="32">
        <f>SUM(E2:E58)</f>
        <v>895.382599999999</v>
      </c>
      <c r="F59" s="32">
        <f>SUM(F2:F58)</f>
        <v>560.0</v>
      </c>
      <c r="G59" s="33">
        <f>SUM(G2:G58)</f>
        <v>1954.632600000003</v>
      </c>
    </row>
  </sheetData>
  <autoFilter ref="A1:G58"/>
  <pageMargins left="0.6" right="0.6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4" customWidth="1" min="4" max="4"/>
    <col width="14" customWidth="1" min="5" max="5"/>
    <col width="10" customWidth="1" min="6" max="6"/>
  </cols>
  <sheetData>
    <row r="1" ht="30" customHeight="1">
      <c r="A1" s="23" t="inlineStr">
        <is>
          <t>EmployeeNumber</t>
        </is>
      </c>
      <c r="B1" s="23" t="inlineStr">
        <is>
          <t>Name</t>
        </is>
      </c>
      <c r="C1" s="23" t="inlineStr">
        <is>
          <t>RequestDate</t>
        </is>
      </c>
      <c r="D1" s="23" t="inlineStr">
        <is>
          <t>StartDate</t>
        </is>
      </c>
      <c r="E1" s="23" t="inlineStr">
        <is>
          <t>EndDate</t>
        </is>
      </c>
      <c r="F1" s="23" t="inlineStr">
        <is>
          <t>Hours</t>
        </is>
      </c>
    </row>
    <row r="2" ht="18" customHeight="1">
      <c r="A2" s="24" t="inlineStr">
        <is>
          <t>TRT-0001</t>
        </is>
      </c>
      <c r="B2" s="25" t="inlineStr">
        <is>
          <t>Michael Labeson</t>
        </is>
      </c>
      <c r="C2" s="34" t="n">
        <v>46195</v>
      </c>
      <c r="D2" s="34" t="n">
        <v>46209</v>
      </c>
      <c r="E2" s="34" t="n">
        <v>46213</v>
      </c>
      <c r="F2" s="35" t="n">
        <v>40</v>
      </c>
    </row>
    <row r="3" ht="18" customHeight="1">
      <c r="A3" s="29" t="inlineStr">
        <is>
          <t>TRT-0012</t>
        </is>
      </c>
      <c r="B3" s="30" t="inlineStr">
        <is>
          <t>Jessica Ko</t>
        </is>
      </c>
      <c r="C3" s="36" t="n">
        <v>46209</v>
      </c>
      <c r="D3" s="36" t="n">
        <v>46223</v>
      </c>
      <c r="E3" s="36" t="n">
        <v>46227</v>
      </c>
      <c r="F3" s="37" t="n">
        <v>40</v>
      </c>
    </row>
    <row r="4" ht="18" customHeight="1">
      <c r="A4" s="24" t="inlineStr">
        <is>
          <t>TRT-0021</t>
        </is>
      </c>
      <c r="B4" s="25" t="inlineStr">
        <is>
          <t>Edith Bustamante</t>
        </is>
      </c>
      <c r="C4" s="34" t="n">
        <v>46209</v>
      </c>
      <c r="D4" s="34" t="n">
        <v>46216</v>
      </c>
      <c r="E4" s="34" t="n">
        <v>46216</v>
      </c>
      <c r="F4" s="35" t="n">
        <v>8</v>
      </c>
    </row>
    <row r="5" ht="18" customHeight="1">
      <c r="A5" s="29" t="inlineStr">
        <is>
          <t>TRT-0021</t>
        </is>
      </c>
      <c r="B5" s="30" t="inlineStr">
        <is>
          <t>Edith Bustamante</t>
        </is>
      </c>
      <c r="C5" s="36" t="n">
        <v>46209</v>
      </c>
      <c r="D5" s="36" t="n">
        <v>46217</v>
      </c>
      <c r="E5" s="36" t="n">
        <v>46217</v>
      </c>
      <c r="F5" s="37" t="n">
        <v>8</v>
      </c>
    </row>
    <row r="6" ht="18" customHeight="1">
      <c r="A6" s="24" t="inlineStr">
        <is>
          <t>TRT-0027</t>
        </is>
      </c>
      <c r="B6" s="25" t="inlineStr">
        <is>
          <t>Kenji Abubakar</t>
        </is>
      </c>
      <c r="C6" s="34" t="n">
        <v>46216</v>
      </c>
      <c r="D6" s="34" t="n">
        <v>46230</v>
      </c>
      <c r="E6" s="34" t="n">
        <v>46231</v>
      </c>
      <c r="F6" s="35" t="n">
        <v>16</v>
      </c>
    </row>
    <row r="7" ht="18" customHeight="1">
      <c r="A7" s="29" t="inlineStr">
        <is>
          <t>TRT-0029</t>
        </is>
      </c>
      <c r="B7" s="30" t="inlineStr">
        <is>
          <t>Emeka Thorsen</t>
        </is>
      </c>
      <c r="C7" s="36" t="n">
        <v>46223</v>
      </c>
      <c r="D7" s="36" t="n">
        <v>46234</v>
      </c>
      <c r="E7" s="36" t="n">
        <v>46234</v>
      </c>
      <c r="F7" s="37" t="n">
        <v>8</v>
      </c>
    </row>
    <row r="8" ht="18" customHeight="1">
      <c r="A8" s="24" t="inlineStr">
        <is>
          <t>TRT-0031</t>
        </is>
      </c>
      <c r="B8" s="25" t="inlineStr">
        <is>
          <t>Zephyr Adebayo</t>
        </is>
      </c>
      <c r="C8" s="34" t="n">
        <v>46216</v>
      </c>
      <c r="D8" s="34" t="n">
        <v>46230</v>
      </c>
      <c r="E8" s="34" t="n">
        <v>46233</v>
      </c>
      <c r="F8" s="35" t="n">
        <v>32</v>
      </c>
    </row>
    <row r="9" ht="18" customHeight="1">
      <c r="A9" s="29" t="inlineStr">
        <is>
          <t>TRT-0043</t>
        </is>
      </c>
      <c r="B9" s="30" t="inlineStr">
        <is>
          <t>Oren Kastellanos</t>
        </is>
      </c>
      <c r="C9" s="36" t="n">
        <v>46209</v>
      </c>
      <c r="D9" s="36" t="n">
        <v>46225</v>
      </c>
      <c r="E9" s="36" t="n">
        <v>46227</v>
      </c>
      <c r="F9" s="37" t="n">
        <v>24</v>
      </c>
    </row>
    <row r="10" ht="18" customHeight="1">
      <c r="A10" s="24" t="inlineStr">
        <is>
          <t>TRT-0045</t>
        </is>
      </c>
      <c r="B10" s="25" t="inlineStr">
        <is>
          <t>Thaddeus Ilunga</t>
        </is>
      </c>
      <c r="C10" s="34" t="n">
        <v>46202</v>
      </c>
      <c r="D10" s="34" t="n">
        <v>46216</v>
      </c>
      <c r="E10" s="34" t="n">
        <v>46220</v>
      </c>
      <c r="F10" s="35" t="n">
        <v>40</v>
      </c>
    </row>
    <row r="11" ht="18" customHeight="1">
      <c r="A11" s="29" t="inlineStr">
        <is>
          <t>TRT-0047</t>
        </is>
      </c>
      <c r="B11" s="30" t="inlineStr">
        <is>
          <t>Sunniva Mbeki</t>
        </is>
      </c>
      <c r="C11" s="36" t="n">
        <v>46195</v>
      </c>
      <c r="D11" s="36" t="n">
        <v>46210</v>
      </c>
      <c r="E11" s="36" t="n">
        <v>46213</v>
      </c>
      <c r="F11" s="37" t="n">
        <v>32</v>
      </c>
    </row>
    <row r="12" ht="18" customHeight="1">
      <c r="A12" s="24" t="inlineStr">
        <is>
          <t>TRT-0051</t>
        </is>
      </c>
      <c r="B12" s="25" t="inlineStr">
        <is>
          <t>Priyamvada Raghunath</t>
        </is>
      </c>
      <c r="C12" s="34" t="n">
        <v>46216</v>
      </c>
      <c r="D12" s="34" t="n">
        <v>46232</v>
      </c>
      <c r="E12" s="34" t="n">
        <v>46234</v>
      </c>
      <c r="F12" s="35" t="n">
        <v>24</v>
      </c>
    </row>
    <row r="13" ht="18" customHeight="1">
      <c r="A13" s="29" t="inlineStr">
        <is>
          <t>TRT-0052</t>
        </is>
      </c>
      <c r="B13" s="30" t="inlineStr">
        <is>
          <t>Persephone Adeyinka</t>
        </is>
      </c>
      <c r="C13" s="36" t="n">
        <v>46204</v>
      </c>
      <c r="D13" s="36" t="n">
        <v>46218</v>
      </c>
      <c r="E13" s="36" t="n">
        <v>46220</v>
      </c>
      <c r="F13" s="37" t="n">
        <v>24</v>
      </c>
    </row>
    <row r="14" ht="18" customHeight="1">
      <c r="A14" s="24" t="inlineStr">
        <is>
          <t>TRT-0055</t>
        </is>
      </c>
      <c r="B14" s="25" t="inlineStr">
        <is>
          <t>Ignatius Werahiko</t>
        </is>
      </c>
      <c r="C14" s="34" t="n">
        <v>46198</v>
      </c>
      <c r="D14" s="34" t="n">
        <v>46212</v>
      </c>
      <c r="E14" s="34" t="n">
        <v>46213</v>
      </c>
      <c r="F14" s="35" t="n">
        <v>16</v>
      </c>
    </row>
    <row r="15" ht="18" customHeight="1">
      <c r="A15" s="29" t="inlineStr">
        <is>
          <t>TRT-0062</t>
        </is>
      </c>
      <c r="B15" s="30" t="inlineStr">
        <is>
          <t>Tina Jung</t>
        </is>
      </c>
      <c r="C15" s="36" t="n">
        <v>46195</v>
      </c>
      <c r="D15" s="36" t="n">
        <v>46205</v>
      </c>
      <c r="E15" s="36" t="n">
        <v>46205</v>
      </c>
      <c r="F15" s="37" t="n">
        <v>8</v>
      </c>
    </row>
    <row r="16" ht="18" customHeight="1">
      <c r="A16" s="24" t="inlineStr">
        <is>
          <t>TRT-0076</t>
        </is>
      </c>
      <c r="B16" s="25" t="inlineStr">
        <is>
          <t>Nikolai Oyeleke</t>
        </is>
      </c>
      <c r="C16" s="34" t="n">
        <v>46216</v>
      </c>
      <c r="D16" s="34" t="n">
        <v>46227</v>
      </c>
      <c r="E16" s="34" t="n">
        <v>46227</v>
      </c>
      <c r="F16" s="35" t="n">
        <v>8</v>
      </c>
    </row>
    <row r="17" ht="18" customHeight="1">
      <c r="A17" s="29" t="inlineStr">
        <is>
          <t>TRT-0083</t>
        </is>
      </c>
      <c r="B17" s="30" t="inlineStr">
        <is>
          <t>Desmond Achterberg</t>
        </is>
      </c>
      <c r="C17" s="36" t="n">
        <v>46202</v>
      </c>
      <c r="D17" s="36" t="n">
        <v>46216</v>
      </c>
      <c r="E17" s="36" t="n">
        <v>46219</v>
      </c>
      <c r="F17" s="37" t="n">
        <v>32</v>
      </c>
    </row>
    <row r="18" ht="18" customHeight="1">
      <c r="A18" s="24" t="inlineStr">
        <is>
          <t>TRT-0088</t>
        </is>
      </c>
      <c r="B18" s="25" t="inlineStr">
        <is>
          <t>Yolanda Featherstone</t>
        </is>
      </c>
      <c r="C18" s="34" t="n">
        <v>46209</v>
      </c>
      <c r="D18" s="34" t="n">
        <v>46223</v>
      </c>
      <c r="E18" s="34" t="n">
        <v>46227</v>
      </c>
      <c r="F18" s="35" t="n">
        <v>40</v>
      </c>
    </row>
    <row r="19" ht="18" customHeight="1">
      <c r="A19" s="29" t="inlineStr">
        <is>
          <t>TRT-0093</t>
        </is>
      </c>
      <c r="B19" s="30" t="inlineStr">
        <is>
          <t>Caspian Nwachukwu</t>
        </is>
      </c>
      <c r="C19" s="36" t="n">
        <v>46195</v>
      </c>
      <c r="D19" s="36" t="n">
        <v>46209</v>
      </c>
      <c r="E19" s="36" t="n">
        <v>46212</v>
      </c>
      <c r="F19" s="37" t="n">
        <v>32</v>
      </c>
    </row>
    <row r="20" ht="18" customHeight="1">
      <c r="A20" s="24" t="inlineStr">
        <is>
          <t>TRT-0096</t>
        </is>
      </c>
      <c r="B20" s="25" t="inlineStr">
        <is>
          <t>Delphine Marchetti</t>
        </is>
      </c>
      <c r="C20" s="34" t="n">
        <v>46202</v>
      </c>
      <c r="D20" s="34" t="n">
        <v>46219</v>
      </c>
      <c r="E20" s="34" t="n">
        <v>46220</v>
      </c>
      <c r="F20" s="35" t="n">
        <v>16</v>
      </c>
    </row>
    <row r="21" ht="18" customHeight="1">
      <c r="A21" s="29" t="inlineStr">
        <is>
          <t>TRT-0105</t>
        </is>
      </c>
      <c r="B21" s="30" t="inlineStr">
        <is>
          <t>Olamide Fitzwilliam</t>
        </is>
      </c>
      <c r="C21" s="36" t="n">
        <v>46216</v>
      </c>
      <c r="D21" s="36" t="n">
        <v>46232</v>
      </c>
      <c r="E21" s="36" t="n">
        <v>46234</v>
      </c>
      <c r="F21" s="37" t="n">
        <v>24</v>
      </c>
    </row>
    <row r="22" ht="18" customHeight="1">
      <c r="A22" s="24" t="inlineStr">
        <is>
          <t>TRT-0108</t>
        </is>
      </c>
      <c r="B22" s="25" t="inlineStr">
        <is>
          <t>Gideon Marlowe</t>
        </is>
      </c>
      <c r="C22" s="34" t="n">
        <v>46195</v>
      </c>
      <c r="D22" s="34" t="n">
        <v>46206</v>
      </c>
      <c r="E22" s="34" t="n">
        <v>46206</v>
      </c>
      <c r="F22" s="35" t="n">
        <v>8</v>
      </c>
    </row>
    <row r="23" ht="18" customHeight="1">
      <c r="A23" s="29" t="inlineStr">
        <is>
          <t>TRT-0117</t>
        </is>
      </c>
      <c r="B23" s="30" t="inlineStr">
        <is>
          <t>Belaviv Luk</t>
        </is>
      </c>
      <c r="C23" s="36" t="n">
        <v>46195</v>
      </c>
      <c r="D23" s="36" t="n">
        <v>46210</v>
      </c>
      <c r="E23" s="36" t="n">
        <v>46213</v>
      </c>
      <c r="F23" s="37" t="n">
        <v>32</v>
      </c>
    </row>
    <row r="24" ht="18" customHeight="1">
      <c r="A24" s="24" t="inlineStr">
        <is>
          <t>TRT-0119</t>
        </is>
      </c>
      <c r="B24" s="25" t="inlineStr">
        <is>
          <t>Hectori Bung</t>
        </is>
      </c>
      <c r="C24" s="34" t="n">
        <v>46216</v>
      </c>
      <c r="D24" s="34" t="n">
        <v>46227</v>
      </c>
      <c r="E24" s="34" t="n">
        <v>46227</v>
      </c>
      <c r="F24" s="35" t="n">
        <v>8</v>
      </c>
    </row>
    <row r="25" ht="18" customHeight="1">
      <c r="A25" s="29" t="inlineStr">
        <is>
          <t>TRT-0131</t>
        </is>
      </c>
      <c r="B25" s="30" t="inlineStr">
        <is>
          <t>Aurelio Banda</t>
        </is>
      </c>
      <c r="C25" s="36" t="n">
        <v>46195</v>
      </c>
      <c r="D25" s="36" t="n">
        <v>46209</v>
      </c>
      <c r="E25" s="36" t="n">
        <v>46213</v>
      </c>
      <c r="F25" s="37" t="n">
        <v>40</v>
      </c>
    </row>
    <row r="26" ht="24" customHeight="1">
      <c r="A26" s="38" t="inlineStr">
        <is>
          <t>TOTAL</t>
        </is>
      </c>
      <c r="B26" s="39" t="n"/>
      <c r="C26" s="39" t="n"/>
      <c r="D26" s="39" t="n"/>
      <c r="E26" s="39" t="n"/>
      <c r="F26" s="40">
        <f>SUM(F2:F25)</f>
        <v>560.0</v>
      </c>
    </row>
  </sheetData>
  <autoFilter ref="A1:F25"/>
  <pageMargins left="0.6" right="0.6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2026-08-31T00:00:00Z</dcterms:created>
  <dcterms:modified xmlns:dcterms="http://purl.org/dc/terms/" xmlns:xsi="http://www.w3.org/2001/XMLSchema-instance" xsi:type="dcterms:W3CDTF">2026-08-31T00:00:00Z</dcterms:modified>
  <dc:creator xmlns:dc="http://purl.org/dc/elements/1.1/">Casey Ouk</dc:creator>
  <cp:lastModifiedBy>Casey Ouk</cp:lastModifiedBy>
</cp:coreProperties>
</file>