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 Elections" sheetId="1" state="visible" r:id="rId1"/>
    <sheet xmlns:r="http://schemas.openxmlformats.org/officeDocument/2006/relationships" name="2026 Changes" sheetId="2" state="visible" r:id="rId2"/>
  </sheets>
  <definedNames/>
  <calcPr calcId="124519" fullCalcOnLoad="1"/>
</workbook>
</file>

<file path=xl/styles.xml><?xml version="1.0" encoding="utf-8"?>
<styleSheet xmlns="http://schemas.openxmlformats.org/spreadsheetml/2006/main">
  <numFmts count="1">
    <numFmt numFmtId="164" formatCode="mm/dd/yyyy"/>
  </numFmts>
  <fonts count="11">
    <font>
      <name val="Segoe UI"/>
      <family val="2"/>
      <color rgb="FF333333"/>
      <sz val="10"/>
    </font>
    <font>
      <name val="Segoe UI"/>
      <family val="2"/>
      <b val="1"/>
      <color rgb="FFFFFFFF"/>
      <sz val="18"/>
    </font>
    <font>
      <name val="Segoe UI"/>
      <family val="2"/>
      <b val="1"/>
      <color rgb="FF1A1F71"/>
      <sz val="10"/>
    </font>
    <font>
      <name val="Segoe UI"/>
      <family val="2"/>
      <color rgb="FF333333"/>
      <sz val="10"/>
    </font>
    <font>
      <name val="Segoe UI"/>
      <family val="2"/>
      <b val="1"/>
      <color rgb="FFFFFFFF"/>
      <sz val="10"/>
    </font>
    <font>
      <name val="Segoe UI"/>
      <family val="2"/>
      <color rgb="FF222222"/>
      <sz val="10"/>
    </font>
    <font>
      <name val="Segoe UI"/>
      <family val="2"/>
      <b val="1"/>
      <color rgb="FF1A1F71"/>
      <sz val="13"/>
    </font>
    <font>
      <name val="Segoe UI"/>
      <family val="2"/>
      <b val="1"/>
      <color rgb="FF1A1F71"/>
      <sz val="11"/>
    </font>
    <font>
      <name val="Segoe UI"/>
      <family val="2"/>
      <i val="1"/>
      <color rgb="FF555555"/>
      <sz val="9"/>
    </font>
    <font>
      <name val="Segoe UI"/>
      <b val="1"/>
      <color rgb="FF375623"/>
      <sz val="10"/>
    </font>
    <font>
      <name val="Segoe UI"/>
      <b val="1"/>
      <color rgb="FF595959"/>
      <sz val="10"/>
    </font>
  </fonts>
  <fills count="7">
    <fill>
      <patternFill/>
    </fill>
    <fill>
      <patternFill patternType="gray125"/>
    </fill>
    <fill>
      <patternFill patternType="solid">
        <fgColor rgb="FF1A1F71"/>
        <bgColor rgb="FF1A1F71"/>
      </patternFill>
    </fill>
    <fill>
      <patternFill patternType="solid">
        <fgColor rgb="FFE8EAF2"/>
        <bgColor rgb="FFE8EAF2"/>
      </patternFill>
    </fill>
    <fill>
      <patternFill patternType="solid">
        <fgColor rgb="FFF4F6FB"/>
        <bgColor rgb="FFF4F6FB"/>
      </patternFill>
    </fill>
    <fill>
      <patternFill patternType="solid">
        <fgColor rgb="FFE2F0D9"/>
      </patternFill>
    </fill>
    <fill>
      <patternFill patternType="solid">
        <fgColor rgb="FFEDEDED"/>
      </patternFill>
    </fill>
  </fills>
  <borders count="2">
    <border>
      <left/>
      <right/>
      <top/>
      <bottom/>
      <diagonal/>
    </border>
    <border>
      <left style="thin">
        <color rgb="FFD9DCE8"/>
      </left>
      <right style="thin">
        <color rgb="FFD9DCE8"/>
      </right>
      <top style="thin">
        <color rgb="FFD9DCE8"/>
      </top>
      <bottom style="thin">
        <color rgb="FFD9DCE8"/>
      </bottom>
      <diagonal/>
    </border>
  </borders>
  <cellStyleXfs count="1">
    <xf numFmtId="0" fontId="3" fillId="0" borderId="0"/>
  </cellStyleXfs>
  <cellXfs count="18">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164" fontId="5" fillId="0" borderId="1" applyAlignment="1" pivotButton="0" quotePrefix="0" xfId="0">
      <alignment horizontal="center" vertical="center"/>
    </xf>
    <xf numFmtId="0" fontId="6"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top" wrapText="1"/>
    </xf>
    <xf numFmtId="0" fontId="5" fillId="4" borderId="1" applyAlignment="1" pivotButton="0" quotePrefix="0" xfId="0">
      <alignment horizontal="center" vertical="center"/>
    </xf>
    <xf numFmtId="0" fontId="5" fillId="4" borderId="1" applyAlignment="1" pivotButton="0" quotePrefix="0" xfId="0">
      <alignment horizontal="left" vertical="center"/>
    </xf>
    <xf numFmtId="164" fontId="5" fillId="4" borderId="1" applyAlignment="1" pivotButton="0" quotePrefix="0" xfId="0">
      <alignment horizontal="center" vertical="center"/>
    </xf>
    <xf numFmtId="164" fontId="5" fillId="0" borderId="1" applyAlignment="1" pivotButton="0" quotePrefix="0" xfId="0">
      <alignment horizontal="center" vertical="center"/>
    </xf>
    <xf numFmtId="164" fontId="5" fillId="4"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pane ySplit="10" topLeftCell="A11" activePane="bottomLeft" state="frozen"/>
      <selection pane="bottomLeft" activeCell="A1" sqref="A1"/>
    </sheetView>
  </sheetViews>
  <sheetFormatPr baseColWidth="8" defaultRowHeight="18"/>
  <cols>
    <col width="13" customWidth="1" min="1" max="1"/>
    <col width="30" customWidth="1" min="2" max="2"/>
    <col width="15" customWidth="1" min="3" max="3"/>
    <col width="26" customWidth="1" min="4" max="4"/>
    <col width="16" customWidth="1" min="5" max="5"/>
  </cols>
  <sheetData>
    <row r="1" ht="44" customHeight="1">
      <c r="A1" s="1" t="inlineStr">
        <is>
          <t>2025 Enrollment Elections — Troutly Analytics, Inc.</t>
        </is>
      </c>
    </row>
    <row r="3">
      <c r="A3" s="2" t="inlineStr">
        <is>
          <t>Source:</t>
        </is>
      </c>
      <c r="B3" s="3" t="inlineStr">
        <is>
          <t>Lampasas Benefits Group — Group Medical Plan Elections Export</t>
        </is>
      </c>
    </row>
    <row r="4">
      <c r="A4" s="2" t="inlineStr">
        <is>
          <t>Plan Year:</t>
        </is>
      </c>
      <c r="B4" s="3" t="inlineStr">
        <is>
          <t>09/01/2025 – 08/31/2026</t>
        </is>
      </c>
    </row>
    <row r="5">
      <c r="A5" s="2" t="inlineStr">
        <is>
          <t>Group:</t>
        </is>
      </c>
      <c r="B5" s="3" t="inlineStr">
        <is>
          <t>Troutly Analytics, Inc. (Austin, TX)</t>
        </is>
      </c>
    </row>
    <row r="6">
      <c r="A6" s="2" t="inlineStr">
        <is>
          <t>Export Prepared By:</t>
        </is>
      </c>
      <c r="B6" s="3" t="inlineStr">
        <is>
          <t>Claudia Bong, Benefits Broker, Lampasas Benefits Group</t>
        </is>
      </c>
    </row>
    <row r="7">
      <c r="A7" s="2" t="inlineStr">
        <is>
          <t>Filed By:</t>
        </is>
      </c>
      <c r="B7" s="3" t="inlineStr">
        <is>
          <t>People Operations</t>
        </is>
      </c>
    </row>
    <row r="8">
      <c r="A8" s="2" t="inlineStr">
        <is>
          <t>Filing Date:</t>
        </is>
      </c>
      <c r="B8" s="3" t="inlineStr">
        <is>
          <t>09/2025</t>
        </is>
      </c>
    </row>
    <row r="10" ht="28" customHeight="1">
      <c r="A10" s="4" t="inlineStr">
        <is>
          <t>EmployeeID</t>
        </is>
      </c>
      <c r="B10" s="4" t="inlineStr">
        <is>
          <t>Name</t>
        </is>
      </c>
      <c r="C10" s="4" t="inlineStr">
        <is>
          <t>Election</t>
        </is>
      </c>
      <c r="D10" s="4" t="inlineStr">
        <is>
          <t>Tier</t>
        </is>
      </c>
      <c r="E10" s="4" t="inlineStr">
        <is>
          <t>ElectionDate</t>
        </is>
      </c>
    </row>
    <row r="11">
      <c r="A11" s="5" t="inlineStr">
        <is>
          <t>TRT-0001</t>
        </is>
      </c>
      <c r="B11" s="6" t="inlineStr">
        <is>
          <t>Michael Labeson</t>
        </is>
      </c>
      <c r="C11" s="16" t="inlineStr">
        <is>
          <t>Enrolled</t>
        </is>
      </c>
      <c r="D11" s="5" t="inlineStr">
        <is>
          <t>Family</t>
        </is>
      </c>
      <c r="E11" s="14" t="n">
        <v>45881</v>
      </c>
    </row>
    <row r="12">
      <c r="A12" s="11" t="inlineStr">
        <is>
          <t>TRT-0002</t>
        </is>
      </c>
      <c r="B12" s="12" t="inlineStr">
        <is>
          <t>Sora Jackson</t>
        </is>
      </c>
      <c r="C12" s="16" t="inlineStr">
        <is>
          <t>Enrolled</t>
        </is>
      </c>
      <c r="D12" s="11" t="inlineStr">
        <is>
          <t>Employee plus Spouse</t>
        </is>
      </c>
      <c r="E12" s="15" t="n">
        <v>45880</v>
      </c>
    </row>
    <row r="13">
      <c r="A13" s="5" t="inlineStr">
        <is>
          <t>TRT-0005</t>
        </is>
      </c>
      <c r="B13" s="6" t="inlineStr">
        <is>
          <t>Mikelle Hosana</t>
        </is>
      </c>
      <c r="C13" s="16" t="inlineStr">
        <is>
          <t>Enrolled</t>
        </is>
      </c>
      <c r="D13" s="5" t="inlineStr">
        <is>
          <t>Family</t>
        </is>
      </c>
      <c r="E13" s="14" t="n">
        <v>45883</v>
      </c>
    </row>
    <row r="14">
      <c r="A14" s="11" t="inlineStr">
        <is>
          <t>TRT-0009</t>
        </is>
      </c>
      <c r="B14" s="12" t="inlineStr">
        <is>
          <t>Krystale Jumawan</t>
        </is>
      </c>
      <c r="C14" s="16" t="inlineStr">
        <is>
          <t>Enrolled</t>
        </is>
      </c>
      <c r="D14" s="11" t="inlineStr">
        <is>
          <t>Employee plus Spouse</t>
        </is>
      </c>
      <c r="E14" s="15" t="n">
        <v>45882</v>
      </c>
    </row>
    <row r="15">
      <c r="A15" s="5" t="inlineStr">
        <is>
          <t>TRT-0012</t>
        </is>
      </c>
      <c r="B15" s="6" t="inlineStr">
        <is>
          <t>Jessica Ko</t>
        </is>
      </c>
      <c r="C15" s="17" t="inlineStr">
        <is>
          <t>Waived</t>
        </is>
      </c>
      <c r="D15" s="5" t="inlineStr">
        <is>
          <t>N/A</t>
        </is>
      </c>
      <c r="E15" s="14" t="n">
        <v>45876</v>
      </c>
    </row>
    <row r="16">
      <c r="A16" s="11" t="inlineStr">
        <is>
          <t>TRT-0014</t>
        </is>
      </c>
      <c r="B16" s="12" t="inlineStr">
        <is>
          <t>Rohan Iyer</t>
        </is>
      </c>
      <c r="C16" s="16" t="inlineStr">
        <is>
          <t>Enrolled</t>
        </is>
      </c>
      <c r="D16" s="11" t="inlineStr">
        <is>
          <t>Employee Only</t>
        </is>
      </c>
      <c r="E16" s="15" t="n">
        <v>45884</v>
      </c>
    </row>
    <row r="17">
      <c r="A17" s="5" t="inlineStr">
        <is>
          <t>TRT-0018</t>
        </is>
      </c>
      <c r="B17" s="6" t="inlineStr">
        <is>
          <t>Marisela Thornbury</t>
        </is>
      </c>
      <c r="C17" s="16" t="inlineStr">
        <is>
          <t>Enrolled</t>
        </is>
      </c>
      <c r="D17" s="5" t="inlineStr">
        <is>
          <t>Employee plus Spouse</t>
        </is>
      </c>
      <c r="E17" s="14" t="n">
        <v>45887</v>
      </c>
    </row>
    <row r="18">
      <c r="A18" s="11" t="inlineStr">
        <is>
          <t>TRT-0021</t>
        </is>
      </c>
      <c r="B18" s="12" t="inlineStr">
        <is>
          <t>Edith Bustamante</t>
        </is>
      </c>
      <c r="C18" s="16" t="inlineStr">
        <is>
          <t>Enrolled</t>
        </is>
      </c>
      <c r="D18" s="11" t="inlineStr">
        <is>
          <t>Employee plus Children</t>
        </is>
      </c>
      <c r="E18" s="15" t="n">
        <v>45880</v>
      </c>
    </row>
    <row r="19">
      <c r="A19" s="5" t="inlineStr">
        <is>
          <t>TRT-0023</t>
        </is>
      </c>
      <c r="B19" s="6" t="inlineStr">
        <is>
          <t>Maeve Oyinlola</t>
        </is>
      </c>
      <c r="C19" s="16" t="inlineStr">
        <is>
          <t>Enrolled</t>
        </is>
      </c>
      <c r="D19" s="5" t="inlineStr">
        <is>
          <t>Employee Only</t>
        </is>
      </c>
      <c r="E19" s="14" t="n">
        <v>45888</v>
      </c>
    </row>
    <row r="20">
      <c r="A20" s="11" t="inlineStr">
        <is>
          <t>TRT-0027</t>
        </is>
      </c>
      <c r="B20" s="12" t="inlineStr">
        <is>
          <t>Kenji Abubakar</t>
        </is>
      </c>
      <c r="C20" s="16" t="inlineStr">
        <is>
          <t>Enrolled</t>
        </is>
      </c>
      <c r="D20" s="11" t="inlineStr">
        <is>
          <t>Family</t>
        </is>
      </c>
      <c r="E20" s="15" t="n">
        <v>45881</v>
      </c>
    </row>
    <row r="21">
      <c r="A21" s="5" t="inlineStr">
        <is>
          <t>TRT-0029</t>
        </is>
      </c>
      <c r="B21" s="6" t="inlineStr">
        <is>
          <t>Emeka Thorsen</t>
        </is>
      </c>
      <c r="C21" s="17" t="inlineStr">
        <is>
          <t>Waived</t>
        </is>
      </c>
      <c r="D21" s="5" t="inlineStr">
        <is>
          <t>N/A</t>
        </is>
      </c>
      <c r="E21" s="14" t="n">
        <v>45877</v>
      </c>
    </row>
    <row r="22">
      <c r="A22" s="11" t="inlineStr">
        <is>
          <t>TRT-0031</t>
        </is>
      </c>
      <c r="B22" s="12" t="inlineStr">
        <is>
          <t>Zephyr Adebayo</t>
        </is>
      </c>
      <c r="C22" s="16" t="inlineStr">
        <is>
          <t>Enrolled</t>
        </is>
      </c>
      <c r="D22" s="11" t="inlineStr">
        <is>
          <t>Employee Only</t>
        </is>
      </c>
      <c r="E22" s="15" t="n">
        <v>45889</v>
      </c>
    </row>
    <row r="23">
      <c r="A23" s="5" t="inlineStr">
        <is>
          <t>TRT-0034</t>
        </is>
      </c>
      <c r="B23" s="6" t="inlineStr">
        <is>
          <t>Luka Odum</t>
        </is>
      </c>
      <c r="C23" s="16" t="inlineStr">
        <is>
          <t>Enrolled</t>
        </is>
      </c>
      <c r="D23" s="5" t="inlineStr">
        <is>
          <t>Employee Only</t>
        </is>
      </c>
      <c r="E23" s="14" t="n">
        <v>45890</v>
      </c>
    </row>
    <row r="24">
      <c r="A24" s="11" t="inlineStr">
        <is>
          <t>TRT-0037</t>
        </is>
      </c>
      <c r="B24" s="12" t="inlineStr">
        <is>
          <t>Piper Athanasoulis</t>
        </is>
      </c>
      <c r="C24" s="16" t="inlineStr">
        <is>
          <t>Enrolled</t>
        </is>
      </c>
      <c r="D24" s="11" t="inlineStr">
        <is>
          <t>Employee Only</t>
        </is>
      </c>
      <c r="E24" s="15" t="n">
        <v>45883</v>
      </c>
    </row>
    <row r="25">
      <c r="A25" s="5" t="inlineStr">
        <is>
          <t>TRT-0040</t>
        </is>
      </c>
      <c r="B25" s="6" t="inlineStr">
        <is>
          <t>Ilse Van der Kolk</t>
        </is>
      </c>
      <c r="C25" s="16" t="inlineStr">
        <is>
          <t>Enrolled</t>
        </is>
      </c>
      <c r="D25" s="5" t="inlineStr">
        <is>
          <t>Employee plus Spouse</t>
        </is>
      </c>
      <c r="E25" s="14" t="n">
        <v>45884</v>
      </c>
    </row>
    <row r="26">
      <c r="A26" s="11" t="inlineStr">
        <is>
          <t>TRT-0043</t>
        </is>
      </c>
      <c r="B26" s="12" t="inlineStr">
        <is>
          <t>Oren Kastellanos</t>
        </is>
      </c>
      <c r="C26" s="16" t="inlineStr">
        <is>
          <t>Enrolled</t>
        </is>
      </c>
      <c r="D26" s="11" t="inlineStr">
        <is>
          <t>Employee Only</t>
        </is>
      </c>
      <c r="E26" s="15" t="n">
        <v>45891</v>
      </c>
    </row>
    <row r="27">
      <c r="A27" s="5" t="inlineStr">
        <is>
          <t>TRT-0045</t>
        </is>
      </c>
      <c r="B27" s="6" t="inlineStr">
        <is>
          <t>Thaddeus Ilunga</t>
        </is>
      </c>
      <c r="C27" s="16" t="inlineStr">
        <is>
          <t>Enrolled</t>
        </is>
      </c>
      <c r="D27" s="5" t="inlineStr">
        <is>
          <t>Employee Only</t>
        </is>
      </c>
      <c r="E27" s="14" t="n">
        <v>45891</v>
      </c>
    </row>
    <row r="28">
      <c r="A28" s="11" t="inlineStr">
        <is>
          <t>TRT-0047</t>
        </is>
      </c>
      <c r="B28" s="12" t="inlineStr">
        <is>
          <t>Sunniva Mbeki</t>
        </is>
      </c>
      <c r="C28" s="16" t="inlineStr">
        <is>
          <t>Enrolled</t>
        </is>
      </c>
      <c r="D28" s="11" t="inlineStr">
        <is>
          <t>Employee plus Children</t>
        </is>
      </c>
      <c r="E28" s="15" t="n">
        <v>45882</v>
      </c>
    </row>
    <row r="29">
      <c r="A29" s="5" t="inlineStr">
        <is>
          <t>TRT-0049</t>
        </is>
      </c>
      <c r="B29" s="6" t="inlineStr">
        <is>
          <t>Halston Perevalov</t>
        </is>
      </c>
      <c r="C29" s="16" t="inlineStr">
        <is>
          <t>Enrolled</t>
        </is>
      </c>
      <c r="D29" s="5" t="inlineStr">
        <is>
          <t>Employee Only</t>
        </is>
      </c>
      <c r="E29" s="14" t="n">
        <v>45894</v>
      </c>
    </row>
    <row r="30">
      <c r="A30" s="11" t="inlineStr">
        <is>
          <t>TRT-0051</t>
        </is>
      </c>
      <c r="B30" s="12" t="inlineStr">
        <is>
          <t>Priyamvada Raghunath</t>
        </is>
      </c>
      <c r="C30" s="16" t="inlineStr">
        <is>
          <t>Enrolled</t>
        </is>
      </c>
      <c r="D30" s="11" t="inlineStr">
        <is>
          <t>Employee Only</t>
        </is>
      </c>
      <c r="E30" s="15" t="n">
        <v>45894</v>
      </c>
    </row>
    <row r="31">
      <c r="A31" s="5" t="inlineStr">
        <is>
          <t>TRT-0052</t>
        </is>
      </c>
      <c r="B31" s="6" t="inlineStr">
        <is>
          <t>Persephone Adeyinka</t>
        </is>
      </c>
      <c r="C31" s="16" t="inlineStr">
        <is>
          <t>Enrolled</t>
        </is>
      </c>
      <c r="D31" s="5" t="inlineStr">
        <is>
          <t>Employee Only</t>
        </is>
      </c>
      <c r="E31" s="14" t="n">
        <v>45887</v>
      </c>
    </row>
    <row r="32">
      <c r="A32" s="11" t="inlineStr">
        <is>
          <t>TRT-0055</t>
        </is>
      </c>
      <c r="B32" s="12" t="inlineStr">
        <is>
          <t>Ignatius Werahiko</t>
        </is>
      </c>
      <c r="C32" s="16" t="inlineStr">
        <is>
          <t>Enrolled</t>
        </is>
      </c>
      <c r="D32" s="11" t="inlineStr">
        <is>
          <t>Employee Only</t>
        </is>
      </c>
      <c r="E32" s="15" t="n">
        <v>45888</v>
      </c>
    </row>
    <row r="33">
      <c r="A33" s="5" t="inlineStr">
        <is>
          <t>TRT-0058</t>
        </is>
      </c>
      <c r="B33" s="6" t="inlineStr">
        <is>
          <t>Callum Oyelaran</t>
        </is>
      </c>
      <c r="C33" s="16" t="inlineStr">
        <is>
          <t>Enrolled</t>
        </is>
      </c>
      <c r="D33" s="5" t="inlineStr">
        <is>
          <t>Employee Only</t>
        </is>
      </c>
      <c r="E33" s="14" t="n">
        <v>45895</v>
      </c>
    </row>
    <row r="34">
      <c r="A34" s="11" t="inlineStr">
        <is>
          <t>TRT-0062</t>
        </is>
      </c>
      <c r="B34" s="12" t="inlineStr">
        <is>
          <t>Tina Jung</t>
        </is>
      </c>
      <c r="C34" s="16" t="inlineStr">
        <is>
          <t>Enrolled</t>
        </is>
      </c>
      <c r="D34" s="11" t="inlineStr">
        <is>
          <t>Employee Only</t>
        </is>
      </c>
      <c r="E34" s="15" t="n">
        <v>45895</v>
      </c>
    </row>
    <row r="35">
      <c r="A35" s="5" t="inlineStr">
        <is>
          <t>TRT-0064</t>
        </is>
      </c>
      <c r="B35" s="6" t="inlineStr">
        <is>
          <t>Marguerite Delacroix-Hahn</t>
        </is>
      </c>
      <c r="C35" s="16" t="inlineStr">
        <is>
          <t>Enrolled</t>
        </is>
      </c>
      <c r="D35" s="5" t="inlineStr">
        <is>
          <t>Employee Only</t>
        </is>
      </c>
      <c r="E35" s="14" t="n">
        <v>45881</v>
      </c>
    </row>
    <row r="36">
      <c r="A36" s="11" t="inlineStr">
        <is>
          <t>TRT-0066</t>
        </is>
      </c>
      <c r="B36" s="12" t="inlineStr">
        <is>
          <t>Tomasz Ekwueme</t>
        </is>
      </c>
      <c r="C36" s="16" t="inlineStr">
        <is>
          <t>Enrolled</t>
        </is>
      </c>
      <c r="D36" s="11" t="inlineStr">
        <is>
          <t>Employee plus Spouse</t>
        </is>
      </c>
      <c r="E36" s="15" t="n">
        <v>45883</v>
      </c>
    </row>
    <row r="37">
      <c r="A37" s="5" t="inlineStr">
        <is>
          <t>TRT-0069</t>
        </is>
      </c>
      <c r="B37" s="6" t="inlineStr">
        <is>
          <t>Xiomara Bekele</t>
        </is>
      </c>
      <c r="C37" s="16" t="inlineStr">
        <is>
          <t>Enrolled</t>
        </is>
      </c>
      <c r="D37" s="5" t="inlineStr">
        <is>
          <t>Employee Only</t>
        </is>
      </c>
      <c r="E37" s="14" t="n">
        <v>45896</v>
      </c>
    </row>
    <row r="38">
      <c r="A38" s="11" t="inlineStr">
        <is>
          <t>TRT-0071</t>
        </is>
      </c>
      <c r="B38" s="12" t="inlineStr">
        <is>
          <t>Samuel Burkenham</t>
        </is>
      </c>
      <c r="C38" s="16" t="inlineStr">
        <is>
          <t>Enrolled</t>
        </is>
      </c>
      <c r="D38" s="11" t="inlineStr">
        <is>
          <t>Employee Only</t>
        </is>
      </c>
      <c r="E38" s="15" t="n">
        <v>45889</v>
      </c>
    </row>
    <row r="39">
      <c r="A39" s="5" t="inlineStr">
        <is>
          <t>TRT-0074</t>
        </is>
      </c>
      <c r="B39" s="6" t="inlineStr">
        <is>
          <t>Cassius Oyelowo</t>
        </is>
      </c>
      <c r="C39" s="17" t="inlineStr">
        <is>
          <t>Waived</t>
        </is>
      </c>
      <c r="D39" s="5" t="inlineStr">
        <is>
          <t>N/A</t>
        </is>
      </c>
      <c r="E39" s="14" t="n">
        <v>45877</v>
      </c>
    </row>
    <row r="40">
      <c r="A40" s="11" t="inlineStr">
        <is>
          <t>TRT-0076</t>
        </is>
      </c>
      <c r="B40" s="12" t="inlineStr">
        <is>
          <t>Nikolai Oyeleke</t>
        </is>
      </c>
      <c r="C40" s="16" t="inlineStr">
        <is>
          <t>Enrolled</t>
        </is>
      </c>
      <c r="D40" s="11" t="inlineStr">
        <is>
          <t>Employee Only</t>
        </is>
      </c>
      <c r="E40" s="15" t="n">
        <v>45896</v>
      </c>
    </row>
    <row r="41">
      <c r="A41" s="5" t="inlineStr">
        <is>
          <t>TRT-0079</t>
        </is>
      </c>
      <c r="B41" s="6" t="inlineStr">
        <is>
          <t>Wren Takahashi-Bell</t>
        </is>
      </c>
      <c r="C41" s="16" t="inlineStr">
        <is>
          <t>Enrolled</t>
        </is>
      </c>
      <c r="D41" s="5" t="inlineStr">
        <is>
          <t>Employee Only</t>
        </is>
      </c>
      <c r="E41" s="14" t="n">
        <v>45890</v>
      </c>
    </row>
    <row r="42">
      <c r="A42" s="11" t="inlineStr">
        <is>
          <t>TRT-0083</t>
        </is>
      </c>
      <c r="B42" s="12" t="inlineStr">
        <is>
          <t>Desmond Achterberg</t>
        </is>
      </c>
      <c r="C42" s="16" t="inlineStr">
        <is>
          <t>Enrolled</t>
        </is>
      </c>
      <c r="D42" s="11" t="inlineStr">
        <is>
          <t>Employee Only</t>
        </is>
      </c>
      <c r="E42" s="15" t="n">
        <v>45897</v>
      </c>
    </row>
    <row r="43">
      <c r="A43" s="5" t="inlineStr">
        <is>
          <t>TRT-0086</t>
        </is>
      </c>
      <c r="B43" s="6" t="inlineStr">
        <is>
          <t>Rosalind Munro</t>
        </is>
      </c>
      <c r="C43" s="16" t="inlineStr">
        <is>
          <t>Enrolled</t>
        </is>
      </c>
      <c r="D43" s="5" t="inlineStr">
        <is>
          <t>Employee Only</t>
        </is>
      </c>
      <c r="E43" s="14" t="n">
        <v>45897</v>
      </c>
    </row>
    <row r="44">
      <c r="A44" s="11" t="inlineStr">
        <is>
          <t>TRT-0088</t>
        </is>
      </c>
      <c r="B44" s="12" t="inlineStr">
        <is>
          <t>Yolanda Featherstone</t>
        </is>
      </c>
      <c r="C44" s="16" t="inlineStr">
        <is>
          <t>Enrolled</t>
        </is>
      </c>
      <c r="D44" s="11" t="inlineStr">
        <is>
          <t>Employee plus Children</t>
        </is>
      </c>
      <c r="E44" s="15" t="n">
        <v>45882</v>
      </c>
    </row>
    <row r="45">
      <c r="A45" s="5" t="inlineStr">
        <is>
          <t>TRT-0091</t>
        </is>
      </c>
      <c r="B45" s="6" t="inlineStr">
        <is>
          <t>Beatrix Nakagawa</t>
        </is>
      </c>
      <c r="C45" s="16" t="inlineStr">
        <is>
          <t>Enrolled</t>
        </is>
      </c>
      <c r="D45" s="5" t="inlineStr">
        <is>
          <t>Employee Only</t>
        </is>
      </c>
      <c r="E45" s="14" t="n">
        <v>45891</v>
      </c>
    </row>
    <row r="46">
      <c r="A46" s="11" t="inlineStr">
        <is>
          <t>TRT-0093</t>
        </is>
      </c>
      <c r="B46" s="12" t="inlineStr">
        <is>
          <t>Caspian Nwachukwu</t>
        </is>
      </c>
      <c r="C46" s="16" t="inlineStr">
        <is>
          <t>Enrolled</t>
        </is>
      </c>
      <c r="D46" s="11" t="inlineStr">
        <is>
          <t>Employee Only</t>
        </is>
      </c>
      <c r="E46" s="15" t="n">
        <v>45894</v>
      </c>
    </row>
    <row r="47">
      <c r="A47" s="5" t="inlineStr">
        <is>
          <t>TRT-0096</t>
        </is>
      </c>
      <c r="B47" s="6" t="inlineStr">
        <is>
          <t>Delphine Marchetti</t>
        </is>
      </c>
      <c r="C47" s="16" t="inlineStr">
        <is>
          <t>Enrolled</t>
        </is>
      </c>
      <c r="D47" s="5" t="inlineStr">
        <is>
          <t>Employee Only</t>
        </is>
      </c>
      <c r="E47" s="14" t="n">
        <v>45898</v>
      </c>
    </row>
    <row r="48">
      <c r="A48" s="11" t="inlineStr">
        <is>
          <t>TRT-0099</t>
        </is>
      </c>
      <c r="B48" s="12" t="inlineStr">
        <is>
          <t>Leopold Anyanwu</t>
        </is>
      </c>
      <c r="C48" s="16" t="inlineStr">
        <is>
          <t>Enrolled</t>
        </is>
      </c>
      <c r="D48" s="11" t="inlineStr">
        <is>
          <t>Employee Only</t>
        </is>
      </c>
      <c r="E48" s="15" t="n">
        <v>45895</v>
      </c>
    </row>
    <row r="49">
      <c r="A49" s="5" t="inlineStr">
        <is>
          <t>TRT-0102</t>
        </is>
      </c>
      <c r="B49" s="6" t="inlineStr">
        <is>
          <t>Lucía Ferrante</t>
        </is>
      </c>
      <c r="C49" s="16" t="inlineStr">
        <is>
          <t>Enrolled</t>
        </is>
      </c>
      <c r="D49" s="5" t="inlineStr">
        <is>
          <t>Employee Only</t>
        </is>
      </c>
      <c r="E49" s="14" t="n">
        <v>45884</v>
      </c>
    </row>
    <row r="50">
      <c r="A50" s="11" t="inlineStr">
        <is>
          <t>TRT-0105</t>
        </is>
      </c>
      <c r="B50" s="12" t="inlineStr">
        <is>
          <t>Olamide Fitzwilliam</t>
        </is>
      </c>
      <c r="C50" s="16" t="inlineStr">
        <is>
          <t>Enrolled</t>
        </is>
      </c>
      <c r="D50" s="11" t="inlineStr">
        <is>
          <t>Employee Only</t>
        </is>
      </c>
      <c r="E50" s="15" t="n">
        <v>45898</v>
      </c>
    </row>
    <row r="51">
      <c r="A51" s="5" t="inlineStr">
        <is>
          <t>TRT-0108</t>
        </is>
      </c>
      <c r="B51" s="6" t="inlineStr">
        <is>
          <t>Gideon Marlowe</t>
        </is>
      </c>
      <c r="C51" s="16" t="inlineStr">
        <is>
          <t>Enrolled</t>
        </is>
      </c>
      <c r="D51" s="5" t="inlineStr">
        <is>
          <t>Employee Only</t>
        </is>
      </c>
      <c r="E51" s="14" t="n">
        <v>45887</v>
      </c>
    </row>
    <row r="52">
      <c r="A52" s="11" t="inlineStr">
        <is>
          <t>TRT-0110</t>
        </is>
      </c>
      <c r="B52" s="12" t="inlineStr">
        <is>
          <t>Bartholomew Oduya</t>
        </is>
      </c>
      <c r="C52" s="16" t="inlineStr">
        <is>
          <t>Enrolled</t>
        </is>
      </c>
      <c r="D52" s="11" t="inlineStr">
        <is>
          <t>Employee Only</t>
        </is>
      </c>
      <c r="E52" s="15" t="n">
        <v>45889</v>
      </c>
    </row>
    <row r="53">
      <c r="A53" s="5" t="inlineStr">
        <is>
          <t>TRT-0113</t>
        </is>
      </c>
      <c r="B53" s="6" t="inlineStr">
        <is>
          <t>Winnie Barslanian</t>
        </is>
      </c>
      <c r="C53" s="16" t="inlineStr">
        <is>
          <t>Enrolled</t>
        </is>
      </c>
      <c r="D53" s="5" t="inlineStr">
        <is>
          <t>Employee Only</t>
        </is>
      </c>
      <c r="E53" s="14" t="n">
        <v>45896</v>
      </c>
    </row>
    <row r="54">
      <c r="A54" s="11" t="inlineStr">
        <is>
          <t>TRT-0117</t>
        </is>
      </c>
      <c r="B54" s="12" t="inlineStr">
        <is>
          <t>Belaviv Luk</t>
        </is>
      </c>
      <c r="C54" s="16" t="inlineStr">
        <is>
          <t>Enrolled</t>
        </is>
      </c>
      <c r="D54" s="11" t="inlineStr">
        <is>
          <t>Employee plus Spouse</t>
        </is>
      </c>
      <c r="E54" s="15" t="n">
        <v>45880</v>
      </c>
    </row>
    <row r="55">
      <c r="A55" s="5" t="inlineStr">
        <is>
          <t>TRT-0119</t>
        </is>
      </c>
      <c r="B55" s="6" t="inlineStr">
        <is>
          <t>Hectori Bung</t>
        </is>
      </c>
      <c r="C55" s="16" t="inlineStr">
        <is>
          <t>Enrolled</t>
        </is>
      </c>
      <c r="D55" s="5" t="inlineStr">
        <is>
          <t>Employee Only</t>
        </is>
      </c>
      <c r="E55" s="14" t="n">
        <v>45888</v>
      </c>
    </row>
    <row r="57">
      <c r="A57" s="8" t="inlineStr">
        <is>
          <t>Summary</t>
        </is>
      </c>
    </row>
    <row r="58">
      <c r="A58" s="2" t="inlineStr">
        <is>
          <t>Total Records</t>
        </is>
      </c>
      <c r="B58" s="9">
        <f>COUNTA(A11:A55)</f>
        <v>45</v>
      </c>
    </row>
    <row r="59">
      <c r="A59" s="2" t="inlineStr">
        <is>
          <t>Enrolled</t>
        </is>
      </c>
      <c r="B59" s="9">
        <f>COUNTIF(C11:C55,"Enrolled")</f>
        <v>42</v>
      </c>
    </row>
    <row r="60">
      <c r="A60" s="2" t="inlineStr">
        <is>
          <t>Waived</t>
        </is>
      </c>
      <c r="B60" s="9">
        <f>COUNTIF(C11:C55,"Waived")</f>
        <v>3</v>
      </c>
    </row>
    <row r="61">
      <c r="A61" s="2" t="inlineStr">
        <is>
          <t>Employee Only</t>
        </is>
      </c>
      <c r="B61" s="9">
        <f>COUNTIF(D11:D55,"Employee Only")</f>
        <v>30</v>
      </c>
    </row>
    <row r="62">
      <c r="A62" s="2" t="inlineStr">
        <is>
          <t>Employee plus Spouse</t>
        </is>
      </c>
      <c r="B62" s="9">
        <f>COUNTIF(D11:D55,"Employee plus Spouse")</f>
        <v>6</v>
      </c>
    </row>
    <row r="63">
      <c r="A63" s="2" t="inlineStr">
        <is>
          <t>Employee plus Children</t>
        </is>
      </c>
      <c r="B63" s="9">
        <f>COUNTIF(D11:D55,"Employee plus Children")</f>
        <v>3</v>
      </c>
    </row>
    <row r="64">
      <c r="A64" s="2" t="inlineStr">
        <is>
          <t>Family</t>
        </is>
      </c>
      <c r="B64" s="9">
        <f>COUNTIF(D11:D55,"Family")</f>
        <v>3</v>
      </c>
    </row>
    <row r="66">
      <c r="A66" s="8" t="inlineStr">
        <is>
          <t>Notes</t>
        </is>
      </c>
    </row>
    <row r="67" ht="34" customHeight="1">
      <c r="A67" s="10" t="inlineStr">
        <is>
          <t>• Waiver rows (TRT-0012, TRT-0029, TRT-0074): signed waiver on file citing spousal group coverage as alternate source of medical benefits. Waiver forms retained by Lampasas Benefits Group per plan document §4.3.</t>
        </is>
      </c>
    </row>
    <row r="68" ht="19" customHeight="1">
      <c r="A68" s="10" t="inlineStr">
        <is>
          <t>• Election period ran 08/04/2025 through 08/29/2025. All elections listed above were received by broker cutoff.</t>
        </is>
      </c>
    </row>
    <row r="69" ht="19" customHeight="1">
      <c r="A69" s="10" t="inlineStr">
        <is>
          <t>• Coverage effective date for all enrolled elections above: 09/01/2025.</t>
        </is>
      </c>
    </row>
    <row r="70" ht="49" customHeight="1">
      <c r="A70" s="10" t="inlineStr">
        <is>
          <t>• Employees hired after the 2025 enrollment window enroll at Employee Only on their individual eligibility date (first of the month following 30 days of eligible employment) pending their own election on file, and are not reflected on this export.</t>
        </is>
      </c>
    </row>
    <row r="71" ht="34" customHeight="1">
      <c r="A71" s="10" t="inlineStr">
        <is>
          <t>• Qualifying Life Event tier changes occurring during the plan year are recorded on the 2026 Changes tab of this workbook as they are confirmed by the broker, and are not reissued through this election export.</t>
        </is>
      </c>
    </row>
  </sheetData>
  <mergeCells count="12">
    <mergeCell ref="A69:E69"/>
    <mergeCell ref="B8:E8"/>
    <mergeCell ref="B4:E4"/>
    <mergeCell ref="B6:E6"/>
    <mergeCell ref="A68:E68"/>
    <mergeCell ref="A71:E71"/>
    <mergeCell ref="B7:E7"/>
    <mergeCell ref="A1:E1"/>
    <mergeCell ref="B3:E3"/>
    <mergeCell ref="B5:E5"/>
    <mergeCell ref="A70:E70"/>
    <mergeCell ref="A67:E67"/>
  </mergeCells>
  <pageMargins left="0.5" right="0.5" top="0.75" bottom="0.75" header="0.4" footer="0.4"/>
</worksheet>
</file>

<file path=xl/worksheets/sheet2.xml><?xml version="1.0" encoding="utf-8"?>
<worksheet xmlns="http://schemas.openxmlformats.org/spreadsheetml/2006/main">
  <sheetPr>
    <outlinePr summaryBelow="1" summaryRight="1"/>
    <pageSetUpPr/>
  </sheetPr>
  <dimension ref="A1:G17"/>
  <sheetViews>
    <sheetView workbookViewId="0">
      <pane ySplit="10" topLeftCell="A11" activePane="bottomLeft" state="frozen"/>
      <selection pane="bottomLeft" activeCell="A1" sqref="A1"/>
    </sheetView>
  </sheetViews>
  <sheetFormatPr baseColWidth="8" defaultRowHeight="15"/>
  <cols>
    <col width="13" customWidth="1" min="1" max="1"/>
    <col width="24" customWidth="1" min="2" max="2"/>
    <col width="15" customWidth="1" min="3" max="3"/>
    <col width="24" customWidth="1" min="4" max="4"/>
    <col width="24" customWidth="1" min="5" max="5"/>
    <col width="12" customWidth="1" min="6" max="6"/>
    <col width="44" customWidth="1" min="7" max="7"/>
  </cols>
  <sheetData>
    <row r="1" ht="44" customHeight="1">
      <c r="A1" s="1" t="inlineStr">
        <is>
          <t>2026 Qualifying Life Event Changes — Troutly Analytics, Inc.</t>
        </is>
      </c>
    </row>
    <row r="3">
      <c r="A3" s="2" t="inlineStr">
        <is>
          <t>Source:</t>
        </is>
      </c>
      <c r="B3" s="3" t="inlineStr">
        <is>
          <t>Lampasas Benefits Group — Qualifying Life Event Change Confirmations</t>
        </is>
      </c>
    </row>
    <row r="4">
      <c r="A4" s="2" t="inlineStr">
        <is>
          <t>Plan Year:</t>
        </is>
      </c>
      <c r="B4" s="3" t="inlineStr">
        <is>
          <t>09/01/2025 – 08/31/2026</t>
        </is>
      </c>
    </row>
    <row r="5">
      <c r="A5" s="2" t="inlineStr">
        <is>
          <t>Group:</t>
        </is>
      </c>
      <c r="B5" s="3" t="inlineStr">
        <is>
          <t>Troutly Analytics, Inc. (Austin, TX)</t>
        </is>
      </c>
    </row>
    <row r="6">
      <c r="A6" s="2" t="inlineStr">
        <is>
          <t>Filed By:</t>
        </is>
      </c>
      <c r="B6" s="3" t="inlineStr">
        <is>
          <t>People Operations</t>
        </is>
      </c>
    </row>
    <row r="7">
      <c r="A7" s="2" t="inlineStr">
        <is>
          <t>Last Entry:</t>
        </is>
      </c>
      <c r="B7" s="3" t="inlineStr">
        <is>
          <t>05/2026</t>
        </is>
      </c>
    </row>
    <row r="10" ht="28" customHeight="1">
      <c r="A10" s="4" t="inlineStr">
        <is>
          <t>EmployeeID</t>
        </is>
      </c>
      <c r="B10" s="4" t="inlineStr">
        <is>
          <t>Name</t>
        </is>
      </c>
      <c r="C10" s="4" t="inlineStr">
        <is>
          <t>EffectiveDate</t>
        </is>
      </c>
      <c r="D10" s="4" t="inlineStr">
        <is>
          <t>PriorTier</t>
        </is>
      </c>
      <c r="E10" s="4" t="inlineStr">
        <is>
          <t>NewTier</t>
        </is>
      </c>
      <c r="F10" s="4" t="inlineStr">
        <is>
          <t>Reason</t>
        </is>
      </c>
      <c r="G10" s="4" t="inlineStr">
        <is>
          <t>RecordedBy</t>
        </is>
      </c>
    </row>
    <row r="11">
      <c r="A11" s="5" t="inlineStr">
        <is>
          <t>TRT-0047</t>
        </is>
      </c>
      <c r="B11" s="6" t="inlineStr">
        <is>
          <t>Sunniva Mbeki</t>
        </is>
      </c>
      <c r="C11" s="14" t="n">
        <v>46097</v>
      </c>
      <c r="D11" s="5" t="inlineStr">
        <is>
          <t>Employee plus Children</t>
        </is>
      </c>
      <c r="E11" s="5" t="inlineStr">
        <is>
          <t>Family</t>
        </is>
      </c>
      <c r="F11" s="5" t="inlineStr">
        <is>
          <t>Birth</t>
        </is>
      </c>
      <c r="G11" s="6" t="inlineStr">
        <is>
          <t>Lampasas Benefits Group (confirmed 03/18/2026)</t>
        </is>
      </c>
    </row>
    <row r="12">
      <c r="A12" s="11" t="inlineStr">
        <is>
          <t>TRT-0055</t>
        </is>
      </c>
      <c r="B12" s="12" t="inlineStr">
        <is>
          <t>Ignatius Werahiko</t>
        </is>
      </c>
      <c r="C12" s="15" t="n">
        <v>46153</v>
      </c>
      <c r="D12" s="11" t="inlineStr">
        <is>
          <t>Employee Only</t>
        </is>
      </c>
      <c r="E12" s="11" t="inlineStr">
        <is>
          <t>Employee plus Spouse</t>
        </is>
      </c>
      <c r="F12" s="11" t="inlineStr">
        <is>
          <t>Marriage</t>
        </is>
      </c>
      <c r="G12" s="12" t="inlineStr">
        <is>
          <t>Lampasas Benefits Group (confirmed 05/13/2026)</t>
        </is>
      </c>
    </row>
    <row r="14">
      <c r="A14" s="8" t="inlineStr">
        <is>
          <t>Notes</t>
        </is>
      </c>
    </row>
    <row r="15" ht="34" customHeight="1">
      <c r="A15" s="10" t="inlineStr">
        <is>
          <t>• Each change was confirmed by Lampasas Benefits Group within 30 days of the event and takes effect on the event date shown. The new tier replaces the 2025 election for that employee from the effective date forward.</t>
        </is>
      </c>
    </row>
    <row r="16" ht="34" customHeight="1">
      <c r="A16" s="10" t="inlineStr">
        <is>
          <t>• Premium and employer share for changed tiers follow the rate sheet in effect on the effective date.</t>
        </is>
      </c>
    </row>
    <row r="17" ht="34" customHeight="1">
      <c r="A17" s="10" t="inlineStr">
        <is>
          <t>• No other tier changes were recorded between the 2025 election period and 08/31/2026.</t>
        </is>
      </c>
    </row>
  </sheetData>
  <mergeCells count="4">
    <mergeCell ref="A16:G16"/>
    <mergeCell ref="A1:G1"/>
    <mergeCell ref="A17:G17"/>
    <mergeCell ref="A15:G15"/>
  </mergeCells>
  <pageMargins left="0.75" right="0.75" top="1" bottom="1" header="0.5" footer="0.5"/>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terms:created xmlns:dcterms="http://purl.org/dc/terms/" xmlns:xsi="http://www.w3.org/2001/XMLSchema-instance" xsi:type="dcterms:W3CDTF">2025-09-15T00:00:00Z</dcterms:created>
  <dcterms:modified xmlns:dcterms="http://purl.org/dc/terms/" xmlns:xsi="http://www.w3.org/2001/XMLSchema-instance" xsi:type="dcterms:W3CDTF">2025-09-15T00:00:00Z</dcterms:modified>
  <dc:creator xmlns:dc="http://purl.org/dc/elements/1.1/">Lampasas Benefits Group</dc:creator>
  <cp:lastModifiedBy>Lampasas Benefits Group</cp:lastModifiedBy>
</cp:coreProperties>
</file>