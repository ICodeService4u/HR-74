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Accruals" sheetId="4" state="visible" r:id="rId4"/>
    <sheet xmlns:r="http://schemas.openxmlformats.org/officeDocument/2006/relationships" name="Headcount" sheetId="5" state="visible" r:id="rId5"/>
    <sheet xmlns:r="http://schemas.openxmlformats.org/officeDocument/2006/relationships" name="PTOLi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($* #,##0.00_);[Red]_($* (#,##0.00);_($* &quot;-&quot;??_);_(@_)"/>
    <numFmt numFmtId="165" formatCode="0.0%"/>
    <numFmt numFmtId="166" formatCode="#,##0.00;[Red](#,##0.00)"/>
    <numFmt numFmtId="167" formatCode="#,##0.0000"/>
    <numFmt numFmtId="168" formatCode="$#,##0"/>
    <numFmt numFmtId="169" formatCode="$#,##0.00"/>
    <numFmt numFmtId="170" formatCode="$#,##0.0000"/>
  </numFmts>
  <fonts count="20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i val="1"/>
      <color rgb="00595959"/>
      <sz val="10"/>
    </font>
    <font>
      <name val="Helvetica"/>
      <b val="1"/>
      <color rgb="00FFFFFF"/>
      <sz val="20"/>
    </font>
    <font>
      <name val="Helvetica"/>
      <b val="1"/>
      <color rgb="00FFFFFF"/>
      <sz val="10.5"/>
    </font>
    <font>
      <name val="Helvetica"/>
      <color rgb="001A2332"/>
      <sz val="11"/>
    </font>
    <font>
      <name val="Helvetica"/>
      <b val="1"/>
      <color rgb="00FFFFFF"/>
      <sz val="18"/>
    </font>
    <font>
      <name val="Helvetica"/>
      <color rgb="001A2332"/>
      <sz val="10"/>
    </font>
    <font>
      <name val="Helvetica"/>
      <b val="1"/>
      <i val="1"/>
      <color rgb="000B1F3A"/>
      <sz val="10"/>
    </font>
    <font>
      <name val="Helvetica"/>
      <b val="1"/>
      <color rgb="000B1F3A"/>
      <sz val="10.5"/>
    </font>
    <font>
      <name val="Helvetica"/>
      <b val="1"/>
      <i val="1"/>
      <color rgb="002C4A6E"/>
      <sz val="10"/>
    </font>
    <font>
      <name val="Helvetica"/>
      <b val="1"/>
      <color rgb="00FFFFFF"/>
      <sz val="11"/>
    </font>
    <font>
      <name val="Helvetica"/>
      <i val="1"/>
      <color rgb="001A2332"/>
      <sz val="10"/>
    </font>
    <font>
      <name val="Helvetica"/>
      <i val="1"/>
      <color rgb="002C4A6E"/>
      <sz val="9.5"/>
    </font>
    <font>
      <name val="Helvetica"/>
      <b val="1"/>
      <color rgb="000B1F3A"/>
      <sz val="11"/>
    </font>
    <font>
      <name val="Helvetica"/>
      <b val="1"/>
      <i val="1"/>
      <color rgb="000B1F3A"/>
      <sz val="10.5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7F9FC"/>
      </patternFill>
    </fill>
    <fill>
      <patternFill patternType="solid">
        <fgColor rgb="000B1F3A"/>
      </patternFill>
    </fill>
    <fill>
      <patternFill patternType="solid">
        <fgColor rgb="0014315C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DCE3EE"/>
      </patternFill>
    </fill>
    <fill>
      <patternFill patternType="solid">
        <fgColor rgb="002C4A6E"/>
      </patternFill>
    </fill>
    <fill>
      <patternFill patternType="solid">
        <fgColor rgb="00C9A86A"/>
      </patternFill>
    </fill>
  </fills>
  <borders count="3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medium">
        <color rgb="00404040"/>
      </bottom>
    </border>
    <border>
      <left style="medium">
        <color rgb="00404040"/>
      </left>
      <right style="thin">
        <color rgb="00BFBFBF"/>
      </right>
      <top style="medium">
        <color rgb="00404040"/>
      </top>
      <bottom style="medium">
        <color rgb="00404040"/>
      </bottom>
    </border>
    <border>
      <left style="thin">
        <color rgb="00BFBFBF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medium">
        <color rgb="00404040"/>
      </top>
      <bottom/>
      <diagonal/>
    </border>
    <border>
      <left/>
      <right style="thin">
        <color rgb="00BFBFBF"/>
      </right>
      <top style="medium">
        <color rgb="00404040"/>
      </top>
      <bottom/>
      <diagonal/>
    </border>
    <border>
      <left/>
      <right/>
      <top style="medium">
        <color rgb="00404040"/>
      </top>
      <bottom style="medium">
        <color rgb="00404040"/>
      </bottom>
      <diagonal/>
    </border>
    <border>
      <left/>
      <right style="thin">
        <color rgb="00BFBFBF"/>
      </right>
      <top style="medium">
        <color rgb="00404040"/>
      </top>
      <bottom style="medium">
        <color rgb="00404040"/>
      </bottom>
      <diagonal/>
    </border>
    <border>
      <bottom style="thin">
        <color rgb="000B1F3A"/>
      </bottom>
    </border>
    <border>
      <left style="thin">
        <color rgb="00B8C2D1"/>
      </left>
      <bottom style="hair">
        <color rgb="00B8C2D1"/>
      </bottom>
    </border>
    <border>
      <bottom style="medium">
        <color rgb="00C9A86A"/>
      </bottom>
    </border>
    <border>
      <bottom style="hair">
        <color rgb="00B8C2D1"/>
      </bottom>
    </border>
    <border>
      <top style="thin">
        <color rgb="00B8C2D1"/>
      </top>
    </border>
    <border>
      <top style="medium">
        <color rgb="00C9A86A"/>
      </top>
      <bottom style="medium">
        <color rgb="00C9A86A"/>
      </bottom>
    </border>
    <border>
      <top style="medium">
        <color rgb="000B1F3A"/>
      </top>
      <bottom style="thin">
        <color rgb="00B8C2D1"/>
      </bottom>
    </border>
    <border>
      <top style="hair">
        <color rgb="00B8C2D1"/>
      </top>
    </border>
    <border>
      <left style="medium">
        <color rgb="000B1F3A"/>
      </left>
      <top style="medium">
        <color rgb="00C9A86A"/>
      </top>
      <bottom style="medium">
        <color rgb="00C9A86A"/>
      </bottom>
    </border>
    <border>
      <top style="thin">
        <color rgb="00B8C2D1"/>
      </top>
      <bottom style="hair">
        <color rgb="00B8C2D1"/>
      </bottom>
    </border>
    <border>
      <left/>
      <right/>
      <top/>
      <bottom style="hair">
        <color rgb="00B8C2D1"/>
      </bottom>
      <diagonal/>
    </border>
    <border>
      <left/>
      <right/>
      <top style="hair">
        <color rgb="00B8C2D1"/>
      </top>
      <bottom/>
      <diagonal/>
    </border>
    <border>
      <left/>
      <right/>
      <top style="medium">
        <color rgb="00C9A86A"/>
      </top>
      <bottom/>
      <diagonal/>
    </border>
    <border>
      <left/>
      <right/>
      <top style="medium">
        <color rgb="00C9A86A"/>
      </top>
      <bottom style="medium">
        <color rgb="00C9A86A"/>
      </bottom>
      <diagonal/>
    </border>
    <border>
      <left/>
      <right/>
      <top style="thin">
        <color rgb="00B8C2D1"/>
      </top>
      <bottom/>
      <diagonal/>
    </border>
    <border>
      <left/>
      <right/>
      <top style="thin">
        <color rgb="00B8C2D1"/>
      </top>
      <bottom style="hair">
        <color rgb="00B8C2D1"/>
      </bottom>
      <diagonal/>
    </border>
    <border>
      <right/>
      <bottom style="hair">
        <color rgb="00B8C2D1"/>
      </bottom>
    </border>
    <border>
      <right/>
      <top style="hair">
        <color rgb="00B8C2D1"/>
      </top>
      <bottom/>
    </border>
    <border>
      <right/>
      <top style="medium">
        <color rgb="00C9A86A"/>
      </top>
      <bottom style="medium">
        <color rgb="00C9A86A"/>
      </bottom>
    </border>
    <border>
      <right/>
      <top style="thin">
        <color rgb="00B8C2D1"/>
      </top>
      <bottom style="hair">
        <color rgb="00B8C2D1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 indent="1"/>
    </xf>
    <xf numFmtId="164" fontId="2" fillId="4" borderId="2" applyAlignment="1" pivotButton="0" quotePrefix="0" xfId="0">
      <alignment horizontal="right" vertical="center"/>
    </xf>
    <xf numFmtId="0" fontId="2" fillId="5" borderId="3" applyAlignment="1" pivotButton="0" quotePrefix="0" xfId="0">
      <alignment horizontal="left" vertical="center" indent="1"/>
    </xf>
    <xf numFmtId="164" fontId="2" fillId="5" borderId="3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0" fontId="5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3" fillId="0" borderId="1" applyAlignment="1" pivotButton="0" quotePrefix="0" xfId="0">
      <alignment horizontal="right" vertical="center"/>
    </xf>
    <xf numFmtId="3" fontId="2" fillId="5" borderId="3" applyAlignment="1" pivotButton="0" quotePrefix="0" xfId="0">
      <alignment horizontal="right" vertical="center"/>
    </xf>
    <xf numFmtId="0" fontId="6" fillId="0" borderId="0" pivotButton="0" quotePrefix="0" xfId="0"/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indent="1"/>
    </xf>
    <xf numFmtId="166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 indent="1"/>
    </xf>
    <xf numFmtId="0" fontId="0" fillId="0" borderId="3" pivotButton="0" quotePrefix="0" xfId="0"/>
    <xf numFmtId="164" fontId="4" fillId="3" borderId="5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4" fontId="4" fillId="3" borderId="5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8" fillId="8" borderId="10" applyAlignment="1" pivotButton="0" quotePrefix="0" xfId="0">
      <alignment horizontal="left" vertical="center" indent="1"/>
    </xf>
    <xf numFmtId="0" fontId="9" fillId="9" borderId="11" applyAlignment="1" pivotButton="0" quotePrefix="0" xfId="0">
      <alignment horizontal="left" vertical="center" indent="1"/>
    </xf>
    <xf numFmtId="0" fontId="9" fillId="10" borderId="11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8" fillId="8" borderId="12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168" fontId="11" fillId="9" borderId="13" applyAlignment="1" pivotButton="0" quotePrefix="0" xfId="0">
      <alignment horizontal="right" vertical="center" indent="1"/>
    </xf>
    <xf numFmtId="0" fontId="11" fillId="10" borderId="13" applyAlignment="1" pivotButton="0" quotePrefix="0" xfId="0">
      <alignment horizontal="left" vertical="center" wrapText="1" indent="1"/>
    </xf>
    <xf numFmtId="168" fontId="11" fillId="10" borderId="13" applyAlignment="1" pivotButton="0" quotePrefix="0" xfId="0">
      <alignment horizontal="right" vertical="center" indent="1"/>
    </xf>
    <xf numFmtId="165" fontId="11" fillId="10" borderId="13" applyAlignment="1" pivotButton="0" quotePrefix="0" xfId="0">
      <alignment horizontal="right" vertical="center" indent="1"/>
    </xf>
    <xf numFmtId="0" fontId="14" fillId="0" borderId="0" applyAlignment="1" pivotButton="0" quotePrefix="0" xfId="0">
      <alignment horizontal="left" vertical="center" indent="1"/>
    </xf>
    <xf numFmtId="0" fontId="12" fillId="11" borderId="14" applyAlignment="1" pivotButton="0" quotePrefix="0" xfId="0">
      <alignment horizontal="left" vertical="center" indent="1"/>
    </xf>
    <xf numFmtId="168" fontId="13" fillId="11" borderId="14" applyAlignment="1" pivotButton="0" quotePrefix="0" xfId="0">
      <alignment horizontal="right" vertical="center" indent="1"/>
    </xf>
    <xf numFmtId="0" fontId="8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69" fontId="11" fillId="9" borderId="13" applyAlignment="1" pivotButton="0" quotePrefix="0" xfId="0">
      <alignment horizontal="right" vertical="center" indent="1"/>
    </xf>
    <xf numFmtId="169" fontId="11" fillId="10" borderId="13" applyAlignment="1" pivotButton="0" quotePrefix="0" xfId="0">
      <alignment horizontal="right" vertical="center" indent="1"/>
    </xf>
    <xf numFmtId="0" fontId="15" fillId="7" borderId="15" applyAlignment="1" pivotButton="0" quotePrefix="0" xfId="0">
      <alignment horizontal="left" vertical="center" wrapText="1" indent="1"/>
    </xf>
    <xf numFmtId="169" fontId="15" fillId="7" borderId="15" applyAlignment="1" pivotButton="0" quotePrefix="0" xfId="0">
      <alignment horizontal="right" vertical="center" indent="1"/>
    </xf>
    <xf numFmtId="0" fontId="16" fillId="10" borderId="13" applyAlignment="1" pivotButton="0" quotePrefix="0" xfId="0">
      <alignment horizontal="left" vertical="center" wrapText="1" indent="1"/>
    </xf>
    <xf numFmtId="0" fontId="8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3" fontId="11" fillId="9" borderId="13" applyAlignment="1" pivotButton="0" quotePrefix="0" xfId="0">
      <alignment horizontal="right" vertical="center" indent="1"/>
    </xf>
    <xf numFmtId="3" fontId="11" fillId="10" borderId="13" applyAlignment="1" pivotButton="0" quotePrefix="0" xfId="0">
      <alignment horizontal="right" vertical="center" indent="1"/>
    </xf>
    <xf numFmtId="0" fontId="13" fillId="11" borderId="16" applyAlignment="1" pivotButton="0" quotePrefix="0" xfId="0">
      <alignment horizontal="left" vertical="center" wrapText="1" indent="1"/>
    </xf>
    <xf numFmtId="3" fontId="13" fillId="11" borderId="16" applyAlignment="1" pivotButton="0" quotePrefix="0" xfId="0">
      <alignment horizontal="right" vertical="center" indent="1"/>
    </xf>
    <xf numFmtId="0" fontId="17" fillId="10" borderId="17" applyAlignment="1" pivotButton="0" quotePrefix="0" xfId="0">
      <alignment horizontal="left" vertical="center" indent="1"/>
    </xf>
    <xf numFmtId="0" fontId="11" fillId="9" borderId="13" applyAlignment="1" pivotButton="0" quotePrefix="0" xfId="0">
      <alignment horizontal="center" vertical="center"/>
    </xf>
    <xf numFmtId="4" fontId="11" fillId="9" borderId="13" applyAlignment="1" pivotButton="0" quotePrefix="0" xfId="0">
      <alignment horizontal="right" vertical="center" indent="1"/>
    </xf>
    <xf numFmtId="170" fontId="11" fillId="9" borderId="13" applyAlignment="1" pivotButton="0" quotePrefix="0" xfId="0">
      <alignment horizontal="right" vertical="center" indent="1"/>
    </xf>
    <xf numFmtId="0" fontId="11" fillId="10" borderId="13" applyAlignment="1" pivotButton="0" quotePrefix="0" xfId="0">
      <alignment horizontal="center" vertical="center"/>
    </xf>
    <xf numFmtId="4" fontId="11" fillId="10" borderId="13" applyAlignment="1" pivotButton="0" quotePrefix="0" xfId="0">
      <alignment horizontal="right" vertical="center" indent="1"/>
    </xf>
    <xf numFmtId="170" fontId="11" fillId="10" borderId="13" applyAlignment="1" pivotButton="0" quotePrefix="0" xfId="0">
      <alignment horizontal="right" vertical="center" indent="1"/>
    </xf>
    <xf numFmtId="0" fontId="15" fillId="7" borderId="15" applyAlignment="1" pivotButton="0" quotePrefix="0" xfId="0">
      <alignment horizontal="left" vertical="center" indent="1"/>
    </xf>
    <xf numFmtId="0" fontId="0" fillId="7" borderId="15" pivotButton="0" quotePrefix="0" xfId="0"/>
    <xf numFmtId="169" fontId="18" fillId="13" borderId="18" applyAlignment="1" pivotButton="0" quotePrefix="0" xfId="0">
      <alignment horizontal="right" vertical="center" indent="1"/>
    </xf>
    <xf numFmtId="0" fontId="19" fillId="11" borderId="19" applyAlignment="1" pivotButton="0" quotePrefix="0" xfId="0">
      <alignment horizontal="left" vertical="center" indent="1"/>
    </xf>
    <xf numFmtId="0" fontId="0" fillId="11" borderId="19" pivotButton="0" quotePrefix="0" xfId="0"/>
    <xf numFmtId="169" fontId="18" fillId="11" borderId="19" applyAlignment="1" pivotButton="0" quotePrefix="0" xfId="0">
      <alignment horizontal="right" vertical="center" indent="1"/>
    </xf>
    <xf numFmtId="0" fontId="16" fillId="0" borderId="0" applyAlignment="1" pivotButton="0" quotePrefix="0" xfId="0">
      <alignment horizontal="left" vertical="center" wrapText="1" indent="1"/>
    </xf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5" pivotButton="0" quotePrefix="0" xfId="0"/>
    <xf numFmtId="0" fontId="16" fillId="10" borderId="26" applyAlignment="1" pivotButton="0" quotePrefix="0" xfId="0">
      <alignment horizontal="left" vertical="center" wrapText="1" indent="1"/>
    </xf>
    <xf numFmtId="0" fontId="17" fillId="10" borderId="27" applyAlignment="1" pivotButton="0" quotePrefix="0" xfId="0">
      <alignment horizontal="left" vertical="center" indent="1"/>
    </xf>
    <xf numFmtId="0" fontId="15" fillId="7" borderId="28" applyAlignment="1" pivotButton="0" quotePrefix="0" xfId="0">
      <alignment horizontal="left" vertical="center" indent="1"/>
    </xf>
    <xf numFmtId="0" fontId="19" fillId="11" borderId="29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Finance</author>
  </authors>
  <commentList>
    <comment ref="I56" authorId="0" shapeId="0">
      <text>
        <t>Balances confirmed with People Ops 07/31/2026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/>
  </sheetPr>
  <dimension ref="B2:C8"/>
  <sheetViews>
    <sheetView showGridLines="0" zoomScale="110" workbookViewId="0">
      <selection activeCell="A1" sqref="A1"/>
    </sheetView>
  </sheetViews>
  <sheetFormatPr baseColWidth="8" defaultRowHeight="18"/>
  <cols>
    <col width="2.5" customWidth="1" min="1" max="1"/>
    <col width="30" customWidth="1" min="2" max="2"/>
    <col width="42" customWidth="1" min="3" max="3"/>
  </cols>
  <sheetData>
    <row r="2" ht="36" customHeight="1">
      <c r="B2" s="35" t="inlineStr">
        <is>
          <t>July 2026 Close Package</t>
        </is>
      </c>
    </row>
    <row r="3" ht="10" customHeight="1"/>
    <row r="4" ht="22" customHeight="1">
      <c r="B4" s="37" t="inlineStr">
        <is>
          <t>Entity</t>
        </is>
      </c>
      <c r="C4" s="38" t="inlineStr">
        <is>
          <t>Troutly Analytics, Inc.</t>
        </is>
      </c>
    </row>
    <row r="5" ht="22" customHeight="1">
      <c r="B5" s="37" t="inlineStr">
        <is>
          <t>Period</t>
        </is>
      </c>
      <c r="C5" s="39" t="inlineStr">
        <is>
          <t>07/01/2026 – 07/31/2026</t>
        </is>
      </c>
    </row>
    <row r="6" ht="22" customHeight="1">
      <c r="B6" s="37" t="inlineStr">
        <is>
          <t>Close Date</t>
        </is>
      </c>
      <c r="C6" s="38" t="inlineStr">
        <is>
          <t>08/04/2026</t>
        </is>
      </c>
    </row>
    <row r="7" ht="22" customHeight="1">
      <c r="B7" s="37" t="inlineStr">
        <is>
          <t>Prepared By</t>
        </is>
      </c>
      <c r="C7" s="39" t="inlineStr">
        <is>
          <t>Krystale Jumawan, Finance Manager</t>
        </is>
      </c>
    </row>
    <row r="8" ht="22" customHeight="1">
      <c r="B8" s="37" t="inlineStr">
        <is>
          <t>Currency</t>
        </is>
      </c>
      <c r="C8" s="38" t="inlineStr">
        <is>
          <t>USD</t>
        </is>
      </c>
    </row>
  </sheetData>
  <mergeCells count="1">
    <mergeCell ref="B2:C2"/>
  </mergeCells>
  <pageMargins left="0.7" right="0.7" top="0.8" bottom="0.8" header="0.3" footer="0.3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B2:C2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.5" customWidth="1" min="1" max="1"/>
    <col width="50" customWidth="1" min="2" max="2"/>
    <col width="24" customWidth="1" min="3" max="3"/>
  </cols>
  <sheetData>
    <row r="2" ht="32.4" customHeight="1">
      <c r="B2" s="40" t="inlineStr">
        <is>
          <t>Statement of Operations — July 2026</t>
        </is>
      </c>
    </row>
    <row r="3" ht="10" customHeight="1"/>
    <row r="4" ht="24" customHeight="1">
      <c r="B4" s="41" t="inlineStr">
        <is>
          <t>Line</t>
        </is>
      </c>
      <c r="C4" s="41" t="inlineStr">
        <is>
          <t>Amount</t>
        </is>
      </c>
    </row>
    <row r="5">
      <c r="B5" s="42" t="inlineStr">
        <is>
          <t>Subscription Revenue</t>
        </is>
      </c>
      <c r="C5" s="43" t="n">
        <v>691400</v>
      </c>
    </row>
    <row r="6">
      <c r="B6" s="44" t="inlineStr">
        <is>
          <t>Total Revenue</t>
        </is>
      </c>
      <c r="C6" s="45">
        <f>C5</f>
        <v>691400</v>
      </c>
    </row>
    <row r="7">
      <c r="B7" s="42" t="inlineStr">
        <is>
          <t>Hosting and Infrastructure</t>
        </is>
      </c>
      <c r="C7" s="43" t="n">
        <v>62300</v>
      </c>
    </row>
    <row r="8">
      <c r="B8" s="44" t="inlineStr">
        <is>
          <t>Data and Third-Party Feeds</t>
        </is>
      </c>
      <c r="C8" s="45" t="n">
        <v>41150</v>
      </c>
    </row>
    <row r="9">
      <c r="B9" s="42" t="inlineStr">
        <is>
          <t>Customer Support Payroll Allocation</t>
        </is>
      </c>
      <c r="C9" s="43" t="n">
        <v>68500</v>
      </c>
    </row>
    <row r="10">
      <c r="B10" s="44" t="inlineStr">
        <is>
          <t>Total Cost of Revenue</t>
        </is>
      </c>
      <c r="C10" s="45">
        <f>SUM(C7:C9)</f>
        <v>171950</v>
      </c>
    </row>
    <row r="11">
      <c r="B11" s="42" t="inlineStr">
        <is>
          <t>Gross Profit</t>
        </is>
      </c>
      <c r="C11" s="43">
        <f>C6-C10</f>
        <v>519450</v>
      </c>
    </row>
    <row r="12">
      <c r="B12" s="44" t="inlineStr">
        <is>
          <t>Gross Margin</t>
        </is>
      </c>
      <c r="C12" s="46">
        <f>C11/C6</f>
        <v>0.751301706682094</v>
      </c>
    </row>
    <row r="13">
      <c r="B13" s="42" t="inlineStr">
        <is>
          <t>Payroll and Wages</t>
        </is>
      </c>
      <c r="C13" s="43" t="n">
        <v>530880</v>
      </c>
    </row>
    <row r="14">
      <c r="B14" s="44" t="inlineStr">
        <is>
          <t>Employee Benefits and Payroll Taxes</t>
        </is>
      </c>
      <c r="C14" s="45" t="n">
        <v>88240</v>
      </c>
    </row>
    <row r="15">
      <c r="B15" s="42" t="inlineStr">
        <is>
          <t>Software and Subscriptions</t>
        </is>
      </c>
      <c r="C15" s="43" t="n">
        <v>84600</v>
      </c>
    </row>
    <row r="16">
      <c r="B16" s="44" t="inlineStr">
        <is>
          <t>Rent and Occupancy</t>
        </is>
      </c>
      <c r="C16" s="45" t="n">
        <v>27500</v>
      </c>
    </row>
    <row r="17">
      <c r="B17" s="42" t="inlineStr">
        <is>
          <t>Marketing and Programs</t>
        </is>
      </c>
      <c r="C17" s="43" t="n">
        <v>61200</v>
      </c>
    </row>
    <row r="18">
      <c r="B18" s="44" t="inlineStr">
        <is>
          <t>Professional Services</t>
        </is>
      </c>
      <c r="C18" s="45" t="n">
        <v>33750</v>
      </c>
    </row>
    <row r="19">
      <c r="B19" s="42" t="inlineStr">
        <is>
          <t>Travel and Entertainment</t>
        </is>
      </c>
      <c r="C19" s="43" t="n">
        <v>12880</v>
      </c>
    </row>
    <row r="20">
      <c r="B20" s="44" t="inlineStr">
        <is>
          <t>Other Operating Expenses</t>
        </is>
      </c>
      <c r="C20" s="45" t="n">
        <v>25410</v>
      </c>
    </row>
    <row r="21">
      <c r="B21" s="42" t="inlineStr">
        <is>
          <t>Total Operating Expenses</t>
        </is>
      </c>
      <c r="C21" s="43">
        <f>SUM(C13:C20)</f>
        <v>864460</v>
      </c>
    </row>
    <row r="22">
      <c r="B22" s="44" t="inlineStr">
        <is>
          <t>Operating Loss</t>
        </is>
      </c>
      <c r="C22" s="45">
        <f>C11-C21</f>
        <v>-345010</v>
      </c>
    </row>
    <row r="24" ht="15" customHeight="1">
      <c r="B24" s="47" t="inlineStr">
        <is>
          <t>Memo:</t>
        </is>
      </c>
    </row>
    <row r="25" ht="20" customHeight="1">
      <c r="B25" s="48" t="inlineStr">
        <is>
          <t>ARR at 07/31/2026</t>
        </is>
      </c>
      <c r="C25" s="49" t="n">
        <v>8300000</v>
      </c>
    </row>
    <row r="26" ht="20" customHeight="1">
      <c r="B26" s="48" t="inlineStr">
        <is>
          <t>GL tie-out: Total Revenue (account 4000)</t>
        </is>
      </c>
      <c r="C26" s="49">
        <f>C6</f>
        <v>691400</v>
      </c>
    </row>
  </sheetData>
  <mergeCells count="1">
    <mergeCell ref="B2:C2"/>
  </mergeCells>
  <pageMargins left="0.7" right="0.7" top="0.8" bottom="0.8" header="0.3" footer="0.3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B2:C2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.5" customWidth="1" min="1" max="1"/>
    <col width="50" customWidth="1" min="2" max="2"/>
    <col width="24" customWidth="1" min="3" max="3"/>
  </cols>
  <sheetData>
    <row r="2" ht="32.4" customHeight="1">
      <c r="B2" s="40" t="inlineStr">
        <is>
          <t>Balance Sheet — as of 07/31/2026</t>
        </is>
      </c>
    </row>
    <row r="3" ht="10" customHeight="1"/>
    <row r="4" ht="24" customHeight="1">
      <c r="B4" s="41" t="inlineStr">
        <is>
          <t>Line</t>
        </is>
      </c>
      <c r="C4" s="41" t="inlineStr">
        <is>
          <t>07/31/2026</t>
        </is>
      </c>
    </row>
    <row r="5" ht="20" customHeight="1">
      <c r="B5" s="50" t="inlineStr">
        <is>
          <t>ASSETS</t>
        </is>
      </c>
      <c r="C5" s="51" t="n"/>
    </row>
    <row r="6">
      <c r="B6" s="42" t="inlineStr">
        <is>
          <t>Cash and Cash Equivalents</t>
        </is>
      </c>
      <c r="C6" s="52" t="n">
        <v>9613240.869999999</v>
      </c>
    </row>
    <row r="7">
      <c r="B7" s="44" t="inlineStr">
        <is>
          <t>Accounts Receivable, net</t>
        </is>
      </c>
      <c r="C7" s="53" t="n">
        <v>268450</v>
      </c>
    </row>
    <row r="8">
      <c r="B8" s="42" t="inlineStr">
        <is>
          <t>Prepaid Expenses</t>
        </is>
      </c>
      <c r="C8" s="52" t="n">
        <v>84320</v>
      </c>
    </row>
    <row r="9">
      <c r="B9" s="44" t="inlineStr">
        <is>
          <t>Other Current Assets</t>
        </is>
      </c>
      <c r="C9" s="53" t="n">
        <v>21700</v>
      </c>
    </row>
    <row r="10">
      <c r="B10" s="42" t="inlineStr">
        <is>
          <t>Total Current Assets</t>
        </is>
      </c>
      <c r="C10" s="52">
        <f>SUM(C6:C9)</f>
        <v>9987710.87</v>
      </c>
    </row>
    <row r="11">
      <c r="B11" s="44" t="inlineStr">
        <is>
          <t>Property and Equipment, net</t>
        </is>
      </c>
      <c r="C11" s="53" t="n">
        <v>92600</v>
      </c>
    </row>
    <row r="12">
      <c r="B12" s="42" t="inlineStr">
        <is>
          <t>Capitalized Software, net</t>
        </is>
      </c>
      <c r="C12" s="52" t="n">
        <v>148300</v>
      </c>
    </row>
    <row r="13">
      <c r="B13" s="44" t="inlineStr">
        <is>
          <t>Total Assets</t>
        </is>
      </c>
      <c r="C13" s="53">
        <f>C10+SUM(C11:C12)</f>
        <v>10228610.87</v>
      </c>
    </row>
    <row r="14" ht="20" customHeight="1">
      <c r="B14" s="50" t="inlineStr">
        <is>
          <t>LIABILITIES</t>
        </is>
      </c>
      <c r="C14" s="51" t="n"/>
    </row>
    <row r="15">
      <c r="B15" s="42" t="inlineStr">
        <is>
          <t>Accounts Payable</t>
        </is>
      </c>
      <c r="C15" s="52" t="n">
        <v>146780</v>
      </c>
    </row>
    <row r="16">
      <c r="B16" s="44" t="inlineStr">
        <is>
          <t>Accrued Payroll and Bonus</t>
        </is>
      </c>
      <c r="C16" s="53" t="n">
        <v>158420</v>
      </c>
    </row>
    <row r="17">
      <c r="B17" s="42" t="inlineStr">
        <is>
          <t>Accrued PTO Liability</t>
        </is>
      </c>
      <c r="C17" s="52">
        <f>PTOLiability!I56</f>
        <v>90862.13</v>
      </c>
    </row>
    <row r="18">
      <c r="B18" s="44" t="inlineStr">
        <is>
          <t>Accrued Benefits</t>
        </is>
      </c>
      <c r="C18" s="53" t="n">
        <v>22540</v>
      </c>
    </row>
    <row r="19">
      <c r="B19" s="42" t="inlineStr">
        <is>
          <t>Other Accrued Liabilities</t>
        </is>
      </c>
      <c r="C19" s="52" t="n">
        <v>41300</v>
      </c>
    </row>
    <row r="20">
      <c r="B20" s="44" t="inlineStr">
        <is>
          <t>Deferred Revenue, current</t>
        </is>
      </c>
      <c r="C20" s="53" t="n">
        <v>2138600</v>
      </c>
    </row>
    <row r="21">
      <c r="B21" s="42" t="inlineStr">
        <is>
          <t>Total Current Liabilities</t>
        </is>
      </c>
      <c r="C21" s="52">
        <f>SUM(C15:C20)</f>
        <v>2598502.13</v>
      </c>
    </row>
    <row r="22">
      <c r="B22" s="44" t="inlineStr">
        <is>
          <t>Deferred Revenue, long-term</t>
        </is>
      </c>
      <c r="C22" s="53" t="n">
        <v>62400</v>
      </c>
    </row>
    <row r="23">
      <c r="B23" s="42" t="inlineStr">
        <is>
          <t>Total Liabilities</t>
        </is>
      </c>
      <c r="C23" s="52">
        <f>C21+C22</f>
        <v>2660902.13</v>
      </c>
    </row>
    <row r="24" ht="20" customHeight="1">
      <c r="B24" s="50" t="inlineStr">
        <is>
          <t>STOCKHOLDERS' EQUITY</t>
        </is>
      </c>
      <c r="C24" s="51" t="n"/>
    </row>
    <row r="25">
      <c r="B25" s="42" t="inlineStr">
        <is>
          <t>Common Stock and APIC</t>
        </is>
      </c>
      <c r="C25" s="52" t="n">
        <v>22050000</v>
      </c>
    </row>
    <row r="26">
      <c r="B26" s="44" t="inlineStr">
        <is>
          <t>Accumulated Deficit</t>
        </is>
      </c>
      <c r="C26" s="53" t="n">
        <v>-14482291.26</v>
      </c>
    </row>
    <row r="27">
      <c r="B27" s="42" t="inlineStr">
        <is>
          <t>Total Stockholders' Equity</t>
        </is>
      </c>
      <c r="C27" s="52">
        <f>SUM(C25:C26)</f>
        <v>7567708.74</v>
      </c>
    </row>
    <row r="28">
      <c r="B28" s="54" t="inlineStr">
        <is>
          <t>Total Liabilities and Equity</t>
        </is>
      </c>
      <c r="C28" s="55">
        <f>C23+C27</f>
        <v>10228610.87</v>
      </c>
    </row>
  </sheetData>
  <mergeCells count="1">
    <mergeCell ref="B2:C2"/>
  </mergeCells>
  <pageMargins left="0.7" right="0.7" top="0.8" bottom="0.8" header="0.3" footer="0.3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B2:F1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.5" customWidth="1" min="1" max="1"/>
    <col width="36" customWidth="1" min="2" max="2"/>
    <col width="22" customWidth="1" min="3" max="3"/>
    <col width="16" customWidth="1" min="4" max="4"/>
    <col width="16" customWidth="1" min="5" max="5"/>
    <col width="24" customWidth="1" min="6" max="6"/>
  </cols>
  <sheetData>
    <row r="2" ht="32.4" customHeight="1">
      <c r="B2" s="40" t="inlineStr">
        <is>
          <t>Accruals Rollforward — July 2026</t>
        </is>
      </c>
    </row>
    <row r="3" ht="10" customHeight="1"/>
    <row r="4" ht="24" customHeight="1">
      <c r="B4" s="41" t="inlineStr">
        <is>
          <t>Account</t>
        </is>
      </c>
      <c r="C4" s="41" t="inlineStr">
        <is>
          <t>Beginning 06/30/2026</t>
        </is>
      </c>
      <c r="D4" s="41" t="inlineStr">
        <is>
          <t>Additions</t>
        </is>
      </c>
      <c r="E4" s="41" t="inlineStr">
        <is>
          <t>Reductions</t>
        </is>
      </c>
      <c r="F4" s="41" t="inlineStr">
        <is>
          <t>Ending 07/31/2026</t>
        </is>
      </c>
    </row>
    <row r="5">
      <c r="B5" s="42" t="inlineStr">
        <is>
          <t>Accrued Payroll and Bonus</t>
        </is>
      </c>
      <c r="C5" s="52" t="n">
        <v>142680</v>
      </c>
      <c r="D5" s="52" t="n">
        <v>158420</v>
      </c>
      <c r="E5" s="52" t="n">
        <v>142680</v>
      </c>
      <c r="F5" s="52">
        <f>C5+D5-E5</f>
        <v>158420</v>
      </c>
    </row>
    <row r="6">
      <c r="B6" s="44" t="inlineStr">
        <is>
          <t>Accrued PTO Liability</t>
        </is>
      </c>
      <c r="C6" s="53" t="n">
        <v>78415.60000000001</v>
      </c>
      <c r="D6" s="53" t="n">
        <v>15246.53</v>
      </c>
      <c r="E6" s="53" t="n">
        <v>2800</v>
      </c>
      <c r="F6" s="53">
        <f>C6+D6-E6</f>
        <v>90862.13</v>
      </c>
    </row>
    <row r="7">
      <c r="B7" s="42" t="inlineStr">
        <is>
          <t>Accrued Benefits</t>
        </is>
      </c>
      <c r="C7" s="52" t="n">
        <v>20110</v>
      </c>
      <c r="D7" s="52" t="n">
        <v>22540</v>
      </c>
      <c r="E7" s="52" t="n">
        <v>20110</v>
      </c>
      <c r="F7" s="52">
        <f>C7+D7-E7</f>
        <v>22540</v>
      </c>
    </row>
    <row r="8">
      <c r="B8" s="44" t="inlineStr">
        <is>
          <t>Accrued Vendor Invoices</t>
        </is>
      </c>
      <c r="C8" s="53" t="n">
        <v>38900</v>
      </c>
      <c r="D8" s="53" t="n">
        <v>41300</v>
      </c>
      <c r="E8" s="53" t="n">
        <v>38900</v>
      </c>
      <c r="F8" s="53">
        <f>C8+D8-E8</f>
        <v>41300</v>
      </c>
    </row>
    <row r="9">
      <c r="B9" s="42" t="inlineStr">
        <is>
          <t>Total</t>
        </is>
      </c>
      <c r="C9" s="52">
        <f>SUM(C5:C8)</f>
        <v>280105.6</v>
      </c>
      <c r="D9" s="52">
        <f>SUM(D5:D8)</f>
        <v>237506.53</v>
      </c>
      <c r="E9" s="52">
        <f>SUM(E5:E8)</f>
        <v>204490</v>
      </c>
      <c r="F9" s="52">
        <f>SUM(F5:F8)</f>
        <v>313122.13</v>
      </c>
    </row>
    <row r="11" ht="15" customHeight="1">
      <c r="B11" s="47" t="inlineStr">
        <is>
          <t>Notes:</t>
        </is>
      </c>
    </row>
    <row r="12" ht="20" customHeight="1">
      <c r="B12" s="81" t="inlineStr">
        <is>
          <t>PTO ending balance sourced from PTOLiability tab.</t>
        </is>
      </c>
      <c r="C12" s="77" t="n"/>
      <c r="D12" s="77" t="n"/>
      <c r="E12" s="77" t="n"/>
      <c r="F12" s="77" t="n"/>
    </row>
    <row r="13" ht="20" customHeight="1">
      <c r="B13" s="81" t="inlineStr">
        <is>
          <t>Payroll accrual reflects 07/28 to 07/31 unpaid biweekly stub.</t>
        </is>
      </c>
      <c r="C13" s="77" t="n"/>
      <c r="D13" s="77" t="n"/>
      <c r="E13" s="77" t="n"/>
      <c r="F13" s="77" t="n"/>
    </row>
  </sheetData>
  <mergeCells count="3">
    <mergeCell ref="B2:F2"/>
    <mergeCell ref="B12:F12"/>
    <mergeCell ref="B13:F13"/>
  </mergeCells>
  <pageMargins left="0.7" right="0.7" top="0.8" bottom="0.8" header="0.3" footer="0.3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B2:C20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.5" customWidth="1" min="1" max="1"/>
    <col width="46" customWidth="1" min="2" max="2"/>
    <col width="46" customWidth="1" min="3" max="3"/>
  </cols>
  <sheetData>
    <row r="2" ht="32.4" customHeight="1">
      <c r="B2" s="40" t="inlineStr">
        <is>
          <t>Headcount Summary — July 2026</t>
        </is>
      </c>
    </row>
    <row r="3" ht="10" customHeight="1"/>
    <row r="4" ht="24" customHeight="1">
      <c r="B4" s="41" t="inlineStr">
        <is>
          <t>Metric</t>
        </is>
      </c>
      <c r="C4" s="41" t="inlineStr">
        <is>
          <t>Value</t>
        </is>
      </c>
    </row>
    <row r="5">
      <c r="B5" s="42" t="inlineStr">
        <is>
          <t>Active in HRIS at 07/31/2026</t>
        </is>
      </c>
      <c r="C5" s="42" t="inlineStr">
        <is>
          <t>55 active</t>
        </is>
      </c>
    </row>
    <row r="6">
      <c r="B6" s="44" t="inlineStr">
        <is>
          <t>Terminated in July 2026</t>
        </is>
      </c>
      <c r="C6" s="44" t="inlineStr">
        <is>
          <t>1 (Grayson Oshimoto, term date 07/25/2026)</t>
        </is>
      </c>
    </row>
    <row r="7">
      <c r="B7" s="42" t="inlineStr">
        <is>
          <t>New Hires in July 2026</t>
        </is>
      </c>
      <c r="C7" s="42" t="inlineStr">
        <is>
          <t>1 (TRT-0150 Ingra Zolberg, start 07/01/2026)</t>
        </is>
      </c>
    </row>
    <row r="8">
      <c r="B8" s="44" t="inlineStr">
        <is>
          <t>Open Requisitions at 07/31/2026</t>
        </is>
      </c>
      <c r="C8" s="44" t="inlineStr">
        <is>
          <t>8</t>
        </is>
      </c>
    </row>
    <row r="9" ht="10" customHeight="1"/>
    <row r="10" ht="20" customHeight="1">
      <c r="B10" s="57" t="inlineStr">
        <is>
          <t>Departmental View (HRIS Active 07/31/2026)</t>
        </is>
      </c>
    </row>
    <row r="11" ht="24" customHeight="1">
      <c r="B11" s="41" t="inlineStr">
        <is>
          <t>Department</t>
        </is>
      </c>
      <c r="C11" s="41" t="inlineStr">
        <is>
          <t>Count</t>
        </is>
      </c>
    </row>
    <row r="12">
      <c r="B12" s="42" t="inlineStr">
        <is>
          <t>Engineering</t>
        </is>
      </c>
      <c r="C12" s="59" t="n">
        <v>22</v>
      </c>
    </row>
    <row r="13">
      <c r="B13" s="44" t="inlineStr">
        <is>
          <t>Customer Success</t>
        </is>
      </c>
      <c r="C13" s="60" t="n">
        <v>11</v>
      </c>
    </row>
    <row r="14">
      <c r="B14" s="42" t="inlineStr">
        <is>
          <t>Sales</t>
        </is>
      </c>
      <c r="C14" s="59" t="n">
        <v>9</v>
      </c>
    </row>
    <row r="15">
      <c r="B15" s="44" t="inlineStr">
        <is>
          <t>Marketing</t>
        </is>
      </c>
      <c r="C15" s="60" t="n">
        <v>5</v>
      </c>
    </row>
    <row r="16">
      <c r="B16" s="42" t="inlineStr">
        <is>
          <t>Product</t>
        </is>
      </c>
      <c r="C16" s="59" t="n">
        <v>5</v>
      </c>
    </row>
    <row r="17">
      <c r="B17" s="44" t="inlineStr">
        <is>
          <t>Finance and Corporate</t>
        </is>
      </c>
      <c r="C17" s="60" t="n">
        <v>3</v>
      </c>
    </row>
    <row r="18">
      <c r="B18" s="61" t="inlineStr">
        <is>
          <t>Total</t>
        </is>
      </c>
      <c r="C18" s="62">
        <f>SUM(C12:C17)</f>
        <v>55</v>
      </c>
    </row>
    <row r="19" ht="8" customHeight="1"/>
    <row r="20" ht="20" customHeight="1">
      <c r="B20" s="82" t="inlineStr">
        <is>
          <t>Source: BambooHR active-employee report exported 08/03/2026.</t>
        </is>
      </c>
      <c r="C20" s="78" t="n"/>
    </row>
  </sheetData>
  <mergeCells count="3">
    <mergeCell ref="B20:C20"/>
    <mergeCell ref="B2:C2"/>
    <mergeCell ref="B10:C10"/>
  </mergeCells>
  <pageMargins left="0.7" right="0.7" top="0.8" bottom="0.8" header="0.3" footer="0.3"/>
</worksheet>
</file>

<file path=xl/worksheets/sheet6.xml><?xml version="1.0" encoding="utf-8"?>
<worksheet xmlns="http://schemas.openxmlformats.org/spreadsheetml/2006/main">
  <sheetPr>
    <tabColor rgb="000B1F3A"/>
    <outlinePr summaryBelow="1" summaryRight="1"/>
    <pageSetUpPr/>
  </sheetPr>
  <dimension ref="A2:I59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3" customWidth="1" min="1" max="1"/>
    <col width="32" customWidth="1" min="2" max="2"/>
    <col width="18" customWidth="1" min="3" max="3"/>
    <col width="18" customWidth="1" min="4" max="4"/>
    <col width="14" customWidth="1" min="5" max="5"/>
    <col width="18" customWidth="1" min="6" max="6"/>
    <col width="16" customWidth="1" min="7" max="7"/>
    <col width="14" customWidth="1" min="8" max="8"/>
    <col width="18" customWidth="1" min="9" max="9"/>
  </cols>
  <sheetData>
    <row r="2" ht="32.4" customHeight="1">
      <c r="A2" s="40" t="inlineStr">
        <is>
          <t>PTO Liability Detail — July 2026</t>
        </is>
      </c>
    </row>
    <row r="3" ht="10" customHeight="1"/>
    <row r="4" ht="34" customHeight="1">
      <c r="A4" s="41" t="inlineStr">
        <is>
          <t>EmployeeID</t>
        </is>
      </c>
      <c r="B4" s="41" t="inlineStr">
        <is>
          <t>Name</t>
        </is>
      </c>
      <c r="C4" s="41" t="inlineStr">
        <is>
          <t>Balance070126_Open</t>
        </is>
      </c>
      <c r="D4" s="41" t="inlineStr">
        <is>
          <t>JulyAccrual_HRISTier</t>
        </is>
      </c>
      <c r="E4" s="41" t="inlineStr">
        <is>
          <t>JulyUsage</t>
        </is>
      </c>
      <c r="F4" s="41" t="inlineStr">
        <is>
          <t>Balance073126</t>
        </is>
      </c>
      <c r="G4" s="41" t="inlineStr">
        <is>
          <t>HRISPayRate</t>
        </is>
      </c>
      <c r="H4" s="41" t="inlineStr">
        <is>
          <t>HourlyRate</t>
        </is>
      </c>
      <c r="I4" s="41" t="inlineStr">
        <is>
          <t>DollarLiability</t>
        </is>
      </c>
    </row>
    <row r="5">
      <c r="A5" s="64" t="inlineStr">
        <is>
          <t>TRT-0001</t>
        </is>
      </c>
      <c r="B5" s="42" t="inlineStr">
        <is>
          <t>Michael Labeson</t>
        </is>
      </c>
      <c r="C5" s="65" t="n">
        <v>38.25</v>
      </c>
      <c r="D5" s="65" t="n">
        <v>12.3077</v>
      </c>
      <c r="E5" s="65" t="n">
        <v>40</v>
      </c>
      <c r="F5" s="65">
        <f>ROUND(C5+D5-E5,2)</f>
        <v>10.56</v>
      </c>
      <c r="G5" s="43" t="n">
        <v>215000</v>
      </c>
      <c r="H5" s="66">
        <f>ROUND(G5/2080,4)</f>
        <v>103.3654</v>
      </c>
      <c r="I5" s="52">
        <f>ROUND(F5*H5,2)</f>
        <v>1091.54</v>
      </c>
    </row>
    <row r="6">
      <c r="A6" s="67" t="inlineStr">
        <is>
          <t>TRT-0002</t>
        </is>
      </c>
      <c r="B6" s="44" t="inlineStr">
        <is>
          <t>Sora Jackson</t>
        </is>
      </c>
      <c r="C6" s="68" t="n">
        <v>38</v>
      </c>
      <c r="D6" s="68" t="n">
        <v>12.3077</v>
      </c>
      <c r="E6" s="68" t="n">
        <v>0</v>
      </c>
      <c r="F6" s="68">
        <f>ROUND(C6+D6-E6,2)</f>
        <v>50.31</v>
      </c>
      <c r="G6" s="45" t="n">
        <v>205000</v>
      </c>
      <c r="H6" s="69">
        <f>ROUND(G6/2080,4)</f>
        <v>98.5577</v>
      </c>
      <c r="I6" s="53">
        <f>ROUND(F6*H6,2)</f>
        <v>4958.44</v>
      </c>
    </row>
    <row r="7">
      <c r="A7" s="64" t="inlineStr">
        <is>
          <t>TRT-0005</t>
        </is>
      </c>
      <c r="B7" s="42" t="inlineStr">
        <is>
          <t>Mikelle Hosana</t>
        </is>
      </c>
      <c r="C7" s="65" t="n">
        <v>92.5</v>
      </c>
      <c r="D7" s="65" t="n">
        <v>12.3077</v>
      </c>
      <c r="E7" s="65" t="n">
        <v>0</v>
      </c>
      <c r="F7" s="65">
        <f>ROUND(C7+D7-E7,2)</f>
        <v>104.81</v>
      </c>
      <c r="G7" s="43" t="n">
        <v>187510</v>
      </c>
      <c r="H7" s="66">
        <f>ROUND(G7/2080,4)</f>
        <v>90.149</v>
      </c>
      <c r="I7" s="52">
        <f>ROUND(F7*H7,2)</f>
        <v>9448.52</v>
      </c>
    </row>
    <row r="8">
      <c r="A8" s="67" t="inlineStr">
        <is>
          <t>TRT-0009</t>
        </is>
      </c>
      <c r="B8" s="44" t="inlineStr">
        <is>
          <t>Krystale Jumawan</t>
        </is>
      </c>
      <c r="C8" s="68" t="n">
        <v>84</v>
      </c>
      <c r="D8" s="68" t="n">
        <v>12.3077</v>
      </c>
      <c r="E8" s="68" t="n">
        <v>0</v>
      </c>
      <c r="F8" s="68">
        <f>ROUND(C8+D8-E8,2)</f>
        <v>96.31</v>
      </c>
      <c r="G8" s="45" t="n">
        <v>138700</v>
      </c>
      <c r="H8" s="69">
        <f>ROUND(G8/2080,4)</f>
        <v>66.6827</v>
      </c>
      <c r="I8" s="53">
        <f>ROUND(F8*H8,2)</f>
        <v>6422.21</v>
      </c>
    </row>
    <row r="9">
      <c r="A9" s="64" t="inlineStr">
        <is>
          <t>TRT-0012</t>
        </is>
      </c>
      <c r="B9" s="42" t="inlineStr">
        <is>
          <t>Jessica Ko</t>
        </is>
      </c>
      <c r="C9" s="65" t="n">
        <v>71.5</v>
      </c>
      <c r="D9" s="65" t="n">
        <v>9.2308</v>
      </c>
      <c r="E9" s="65" t="n">
        <v>40</v>
      </c>
      <c r="F9" s="65">
        <f>ROUND(C9+D9-E9,2)</f>
        <v>40.73</v>
      </c>
      <c r="G9" s="43" t="n">
        <v>176400</v>
      </c>
      <c r="H9" s="66">
        <f>ROUND(G9/2080,4)</f>
        <v>84.8077</v>
      </c>
      <c r="I9" s="52">
        <f>ROUND(F9*H9,2)</f>
        <v>3454.22</v>
      </c>
    </row>
    <row r="10">
      <c r="A10" s="67" t="inlineStr">
        <is>
          <t>TRT-0014</t>
        </is>
      </c>
      <c r="B10" s="44" t="inlineStr">
        <is>
          <t>Rohan Iyer</t>
        </is>
      </c>
      <c r="C10" s="68" t="n">
        <v>66</v>
      </c>
      <c r="D10" s="68" t="n">
        <v>9.2308</v>
      </c>
      <c r="E10" s="68" t="n">
        <v>0</v>
      </c>
      <c r="F10" s="68">
        <f>ROUND(C10+D10-E10,2)</f>
        <v>75.23</v>
      </c>
      <c r="G10" s="45" t="n">
        <v>156700</v>
      </c>
      <c r="H10" s="69">
        <f>ROUND(G10/2080,4)</f>
        <v>75.3365</v>
      </c>
      <c r="I10" s="53">
        <f>ROUND(F10*H10,2)</f>
        <v>5667.56</v>
      </c>
    </row>
    <row r="11">
      <c r="A11" s="64" t="inlineStr">
        <is>
          <t>TRT-0018</t>
        </is>
      </c>
      <c r="B11" s="42" t="inlineStr">
        <is>
          <t>Marisela Thornbury</t>
        </is>
      </c>
      <c r="C11" s="65" t="n">
        <v>63.25</v>
      </c>
      <c r="D11" s="65" t="n">
        <v>12.3077</v>
      </c>
      <c r="E11" s="65" t="n">
        <v>0</v>
      </c>
      <c r="F11" s="65">
        <f>ROUND(C11+D11-E11,2)</f>
        <v>75.56</v>
      </c>
      <c r="G11" s="43" t="n">
        <v>173300</v>
      </c>
      <c r="H11" s="66">
        <f>ROUND(G11/2080,4)</f>
        <v>83.3173</v>
      </c>
      <c r="I11" s="52">
        <f>ROUND(F11*H11,2)</f>
        <v>6295.46</v>
      </c>
    </row>
    <row r="12">
      <c r="A12" s="67" t="inlineStr">
        <is>
          <t>TRT-0021</t>
        </is>
      </c>
      <c r="B12" s="44" t="inlineStr">
        <is>
          <t>Edith Bustamante</t>
        </is>
      </c>
      <c r="C12" s="68" t="n">
        <v>74</v>
      </c>
      <c r="D12" s="68" t="n">
        <v>9.2308</v>
      </c>
      <c r="E12" s="68" t="n">
        <v>16</v>
      </c>
      <c r="F12" s="68">
        <f>ROUND(C12+D12-E12,2)</f>
        <v>67.23</v>
      </c>
      <c r="G12" s="45" t="n">
        <v>121300</v>
      </c>
      <c r="H12" s="69">
        <f>ROUND(G12/2080,4)</f>
        <v>58.3173</v>
      </c>
      <c r="I12" s="53">
        <f>ROUND(F12*H12,2)</f>
        <v>3920.67</v>
      </c>
    </row>
    <row r="13">
      <c r="A13" s="64" t="inlineStr">
        <is>
          <t>TRT-0023</t>
        </is>
      </c>
      <c r="B13" s="42" t="inlineStr">
        <is>
          <t>Maeve Oyinlola</t>
        </is>
      </c>
      <c r="C13" s="65" t="n">
        <v>60.5</v>
      </c>
      <c r="D13" s="65" t="n">
        <v>9.2308</v>
      </c>
      <c r="E13" s="65" t="n">
        <v>0</v>
      </c>
      <c r="F13" s="65">
        <f>ROUND(C13+D13-E13,2)</f>
        <v>69.73</v>
      </c>
      <c r="G13" s="43" t="n">
        <v>154900</v>
      </c>
      <c r="H13" s="66">
        <f>ROUND(G13/2080,4)</f>
        <v>74.4712</v>
      </c>
      <c r="I13" s="52">
        <f>ROUND(F13*H13,2)</f>
        <v>5192.88</v>
      </c>
    </row>
    <row r="14">
      <c r="A14" s="67" t="inlineStr">
        <is>
          <t>TRT-0027</t>
        </is>
      </c>
      <c r="B14" s="44" t="inlineStr">
        <is>
          <t>Kenji Abubakar</t>
        </is>
      </c>
      <c r="C14" s="68" t="n">
        <v>24.25</v>
      </c>
      <c r="D14" s="68" t="n">
        <v>9.2308</v>
      </c>
      <c r="E14" s="68" t="n">
        <v>16</v>
      </c>
      <c r="F14" s="68">
        <f>ROUND(C14+D14-E14,2)</f>
        <v>17.48</v>
      </c>
      <c r="G14" s="45" t="n">
        <v>157600</v>
      </c>
      <c r="H14" s="69">
        <f>ROUND(G14/2080,4)</f>
        <v>75.7692</v>
      </c>
      <c r="I14" s="53">
        <f>ROUND(F14*H14,2)</f>
        <v>1324.45</v>
      </c>
    </row>
    <row r="15">
      <c r="A15" s="64" t="inlineStr">
        <is>
          <t>TRT-0029</t>
        </is>
      </c>
      <c r="B15" s="42" t="inlineStr">
        <is>
          <t>Emeka Thorsen</t>
        </is>
      </c>
      <c r="C15" s="65" t="n">
        <v>57</v>
      </c>
      <c r="D15" s="65" t="n">
        <v>9.2308</v>
      </c>
      <c r="E15" s="65" t="n">
        <v>8</v>
      </c>
      <c r="F15" s="65">
        <f>ROUND(C15+D15-E15,2)</f>
        <v>58.23</v>
      </c>
      <c r="G15" s="43" t="n">
        <v>101400</v>
      </c>
      <c r="H15" s="66">
        <f>ROUND(G15/2080,4)</f>
        <v>48.75</v>
      </c>
      <c r="I15" s="52">
        <f>ROUND(F15*H15,2)</f>
        <v>2838.71</v>
      </c>
    </row>
    <row r="16">
      <c r="A16" s="67" t="inlineStr">
        <is>
          <t>TRT-0031</t>
        </is>
      </c>
      <c r="B16" s="44" t="inlineStr">
        <is>
          <t>Zephyr Adebayo</t>
        </is>
      </c>
      <c r="C16" s="68" t="n">
        <v>52</v>
      </c>
      <c r="D16" s="68" t="n">
        <v>9.2308</v>
      </c>
      <c r="E16" s="68" t="n">
        <v>32</v>
      </c>
      <c r="F16" s="68">
        <f>ROUND(C16+D16-E16,2)</f>
        <v>29.23</v>
      </c>
      <c r="G16" s="45" t="n">
        <v>161200</v>
      </c>
      <c r="H16" s="69">
        <f>ROUND(G16/2080,4)</f>
        <v>77.5</v>
      </c>
      <c r="I16" s="53">
        <f>ROUND(F16*H16,2)</f>
        <v>2265.33</v>
      </c>
    </row>
    <row r="17">
      <c r="A17" s="64" t="inlineStr">
        <is>
          <t>TRT-0034</t>
        </is>
      </c>
      <c r="B17" s="42" t="inlineStr">
        <is>
          <t>Luka Odum</t>
        </is>
      </c>
      <c r="C17" s="65" t="n">
        <v>12.5</v>
      </c>
      <c r="D17" s="65" t="n">
        <v>9.2308</v>
      </c>
      <c r="E17" s="65" t="n">
        <v>0</v>
      </c>
      <c r="F17" s="65">
        <f>ROUND(C17+D17-E17,2)</f>
        <v>21.73</v>
      </c>
      <c r="G17" s="43" t="n">
        <v>84600</v>
      </c>
      <c r="H17" s="66">
        <f>ROUND(G17/2080,4)</f>
        <v>40.6731</v>
      </c>
      <c r="I17" s="52">
        <f>ROUND(F17*H17,2)</f>
        <v>883.83</v>
      </c>
    </row>
    <row r="18">
      <c r="A18" s="67" t="inlineStr">
        <is>
          <t>TRT-0037</t>
        </is>
      </c>
      <c r="B18" s="44" t="inlineStr">
        <is>
          <t>Piper Athanasoulis</t>
        </is>
      </c>
      <c r="C18" s="68" t="n">
        <v>30</v>
      </c>
      <c r="D18" s="68" t="n">
        <v>9.2308</v>
      </c>
      <c r="E18" s="68" t="n">
        <v>0</v>
      </c>
      <c r="F18" s="68">
        <f>ROUND(C18+D18-E18,2)</f>
        <v>39.23</v>
      </c>
      <c r="G18" s="45" t="n">
        <v>68900</v>
      </c>
      <c r="H18" s="69">
        <f>ROUND(G18/2080,4)</f>
        <v>33.125</v>
      </c>
      <c r="I18" s="53">
        <f>ROUND(F18*H18,2)</f>
        <v>1299.49</v>
      </c>
    </row>
    <row r="19">
      <c r="A19" s="64" t="inlineStr">
        <is>
          <t>TRT-0040</t>
        </is>
      </c>
      <c r="B19" s="42" t="inlineStr">
        <is>
          <t>Ilse Van der Kolk</t>
        </is>
      </c>
      <c r="C19" s="65" t="n">
        <v>49.5</v>
      </c>
      <c r="D19" s="65" t="n">
        <v>9.2308</v>
      </c>
      <c r="E19" s="65" t="n">
        <v>0</v>
      </c>
      <c r="F19" s="65">
        <f>ROUND(C19+D19-E19,2)</f>
        <v>58.73</v>
      </c>
      <c r="G19" s="43" t="n">
        <v>176400</v>
      </c>
      <c r="H19" s="66">
        <f>ROUND(G19/2080,4)</f>
        <v>84.8077</v>
      </c>
      <c r="I19" s="52">
        <f>ROUND(F19*H19,2)</f>
        <v>4980.76</v>
      </c>
    </row>
    <row r="20">
      <c r="A20" s="67" t="inlineStr">
        <is>
          <t>TRT-0043</t>
        </is>
      </c>
      <c r="B20" s="44" t="inlineStr">
        <is>
          <t>Oren Kastellanos</t>
        </is>
      </c>
      <c r="C20" s="68" t="n">
        <v>43.5</v>
      </c>
      <c r="D20" s="68" t="n">
        <v>6.1538</v>
      </c>
      <c r="E20" s="68" t="n">
        <v>24</v>
      </c>
      <c r="F20" s="68">
        <f>ROUND(C20+D20-E20,2)</f>
        <v>25.65</v>
      </c>
      <c r="G20" s="45" t="n">
        <v>97350</v>
      </c>
      <c r="H20" s="69">
        <f>ROUND(G20/2080,4)</f>
        <v>46.8029</v>
      </c>
      <c r="I20" s="53">
        <f>ROUND(F20*H20,2)</f>
        <v>1200.49</v>
      </c>
    </row>
    <row r="21">
      <c r="A21" s="64" t="inlineStr">
        <is>
          <t>TRT-0045</t>
        </is>
      </c>
      <c r="B21" s="42" t="inlineStr">
        <is>
          <t>Thaddeus Ilunga</t>
        </is>
      </c>
      <c r="C21" s="65" t="n">
        <v>29.5</v>
      </c>
      <c r="D21" s="65" t="n">
        <v>9.2308</v>
      </c>
      <c r="E21" s="65" t="n">
        <v>40</v>
      </c>
      <c r="F21" s="65">
        <f>ROUND(C21+D21-E21,2)</f>
        <v>-1.27</v>
      </c>
      <c r="G21" s="43" t="n">
        <v>100800</v>
      </c>
      <c r="H21" s="66">
        <f>ROUND(G21/2080,4)</f>
        <v>48.4615</v>
      </c>
      <c r="I21" s="52">
        <f>ROUND(F21*H21,2)</f>
        <v>-61.55</v>
      </c>
    </row>
    <row r="22">
      <c r="A22" s="67" t="inlineStr">
        <is>
          <t>TRT-0047</t>
        </is>
      </c>
      <c r="B22" s="44" t="inlineStr">
        <is>
          <t>Sunniva Mbeki</t>
        </is>
      </c>
      <c r="C22" s="68" t="n">
        <v>19</v>
      </c>
      <c r="D22" s="68" t="n">
        <v>9.2308</v>
      </c>
      <c r="E22" s="68" t="n">
        <v>32</v>
      </c>
      <c r="F22" s="68">
        <f>ROUND(C22+D22-E22,2)</f>
        <v>-3.77</v>
      </c>
      <c r="G22" s="45" t="n">
        <v>132300</v>
      </c>
      <c r="H22" s="69">
        <f>ROUND(G22/2080,4)</f>
        <v>63.6058</v>
      </c>
      <c r="I22" s="53">
        <f>ROUND(F22*H22,2)</f>
        <v>-239.79</v>
      </c>
    </row>
    <row r="23">
      <c r="A23" s="64" t="inlineStr">
        <is>
          <t>TRT-0049</t>
        </is>
      </c>
      <c r="B23" s="42" t="inlineStr">
        <is>
          <t>Halston Perevalov</t>
        </is>
      </c>
      <c r="C23" s="65" t="n">
        <v>22.5</v>
      </c>
      <c r="D23" s="65" t="n">
        <v>6.1538</v>
      </c>
      <c r="E23" s="65" t="n">
        <v>0</v>
      </c>
      <c r="F23" s="65">
        <f>ROUND(C23+D23-E23,2)</f>
        <v>28.65</v>
      </c>
      <c r="G23" s="43" t="n">
        <v>74250</v>
      </c>
      <c r="H23" s="66">
        <f>ROUND(G23/2080,4)</f>
        <v>35.6971</v>
      </c>
      <c r="I23" s="52">
        <f>ROUND(F23*H23,2)</f>
        <v>1022.72</v>
      </c>
    </row>
    <row r="24">
      <c r="A24" s="67" t="inlineStr">
        <is>
          <t>TRT-0051</t>
        </is>
      </c>
      <c r="B24" s="44" t="inlineStr">
        <is>
          <t>Priyamvada Raghunath</t>
        </is>
      </c>
      <c r="C24" s="68" t="n">
        <v>12.25</v>
      </c>
      <c r="D24" s="68" t="n">
        <v>6.1538</v>
      </c>
      <c r="E24" s="68" t="n">
        <v>24</v>
      </c>
      <c r="F24" s="68">
        <f>ROUND(C24+D24-E24,2)</f>
        <v>-5.6</v>
      </c>
      <c r="G24" s="45" t="n">
        <v>129800</v>
      </c>
      <c r="H24" s="69">
        <f>ROUND(G24/2080,4)</f>
        <v>62.4038</v>
      </c>
      <c r="I24" s="53">
        <f>ROUND(F24*H24,2)</f>
        <v>-349.46</v>
      </c>
    </row>
    <row r="25">
      <c r="A25" s="64" t="inlineStr">
        <is>
          <t>TRT-0052</t>
        </is>
      </c>
      <c r="B25" s="42" t="inlineStr">
        <is>
          <t>Persephone Adeyinka</t>
        </is>
      </c>
      <c r="C25" s="65" t="n">
        <v>10</v>
      </c>
      <c r="D25" s="65" t="n">
        <v>9.2308</v>
      </c>
      <c r="E25" s="65" t="n">
        <v>24</v>
      </c>
      <c r="F25" s="65">
        <f>ROUND(C25+D25-E25,2)</f>
        <v>-4.77</v>
      </c>
      <c r="G25" s="43" t="n">
        <v>103700</v>
      </c>
      <c r="H25" s="66">
        <f>ROUND(G25/2080,4)</f>
        <v>49.8558</v>
      </c>
      <c r="I25" s="52">
        <f>ROUND(F25*H25,2)</f>
        <v>-237.81</v>
      </c>
    </row>
    <row r="26">
      <c r="A26" s="67" t="inlineStr">
        <is>
          <t>TRT-0055</t>
        </is>
      </c>
      <c r="B26" s="44" t="inlineStr">
        <is>
          <t>Ignatius Werahiko</t>
        </is>
      </c>
      <c r="C26" s="68" t="n">
        <v>13.5</v>
      </c>
      <c r="D26" s="68" t="n">
        <v>9.2308</v>
      </c>
      <c r="E26" s="68" t="n">
        <v>16</v>
      </c>
      <c r="F26" s="68">
        <f>ROUND(C26+D26-E26,2)</f>
        <v>6.73</v>
      </c>
      <c r="G26" s="45" t="n">
        <v>130450</v>
      </c>
      <c r="H26" s="69">
        <f>ROUND(G26/2080,4)</f>
        <v>62.7163</v>
      </c>
      <c r="I26" s="53">
        <f>ROUND(F26*H26,2)</f>
        <v>422.08</v>
      </c>
    </row>
    <row r="27">
      <c r="A27" s="64" t="inlineStr">
        <is>
          <t>TRT-0058</t>
        </is>
      </c>
      <c r="B27" s="42" t="inlineStr">
        <is>
          <t>Callum Oyelaran</t>
        </is>
      </c>
      <c r="C27" s="65" t="n">
        <v>22.5</v>
      </c>
      <c r="D27" s="65" t="n">
        <v>6.1538</v>
      </c>
      <c r="E27" s="65" t="n">
        <v>0</v>
      </c>
      <c r="F27" s="65">
        <f>ROUND(C27+D27-E27,2)</f>
        <v>28.65</v>
      </c>
      <c r="G27" s="43" t="n">
        <v>94750</v>
      </c>
      <c r="H27" s="66">
        <f>ROUND(G27/2080,4)</f>
        <v>45.5529</v>
      </c>
      <c r="I27" s="52">
        <f>ROUND(F27*H27,2)</f>
        <v>1305.09</v>
      </c>
    </row>
    <row r="28">
      <c r="A28" s="67" t="inlineStr">
        <is>
          <t>TRT-0062</t>
        </is>
      </c>
      <c r="B28" s="44" t="inlineStr">
        <is>
          <t>Tina Jung</t>
        </is>
      </c>
      <c r="C28" s="68" t="n">
        <v>10.75</v>
      </c>
      <c r="D28" s="68" t="n">
        <v>9.2308</v>
      </c>
      <c r="E28" s="68" t="n">
        <v>8</v>
      </c>
      <c r="F28" s="68">
        <f>ROUND(C28+D28-E28,2)</f>
        <v>11.98</v>
      </c>
      <c r="G28" s="45" t="n">
        <v>152600</v>
      </c>
      <c r="H28" s="69">
        <f>ROUND(G28/2080,4)</f>
        <v>73.3654</v>
      </c>
      <c r="I28" s="53">
        <f>ROUND(F28*H28,2)</f>
        <v>878.92</v>
      </c>
    </row>
    <row r="29">
      <c r="A29" s="64" t="inlineStr">
        <is>
          <t>TRT-0064</t>
        </is>
      </c>
      <c r="B29" s="42" t="inlineStr">
        <is>
          <t>Marguerite Delacroix-Hahn</t>
        </is>
      </c>
      <c r="C29" s="65" t="n">
        <v>52</v>
      </c>
      <c r="D29" s="65" t="n">
        <v>9.2308</v>
      </c>
      <c r="E29" s="65" t="n">
        <v>0</v>
      </c>
      <c r="F29" s="65">
        <f>ROUND(C29+D29-E29,2)</f>
        <v>61.23</v>
      </c>
      <c r="G29" s="43" t="n">
        <v>71377</v>
      </c>
      <c r="H29" s="66">
        <f>ROUND(G29/2080,4)</f>
        <v>34.3159</v>
      </c>
      <c r="I29" s="52">
        <f>ROUND(F29*H29,2)</f>
        <v>2101.16</v>
      </c>
    </row>
    <row r="30">
      <c r="A30" s="67" t="inlineStr">
        <is>
          <t>TRT-0066</t>
        </is>
      </c>
      <c r="B30" s="44" t="inlineStr">
        <is>
          <t>Tomasz Ekwueme</t>
        </is>
      </c>
      <c r="C30" s="68" t="n">
        <v>9.5</v>
      </c>
      <c r="D30" s="68" t="n">
        <v>9.2308</v>
      </c>
      <c r="E30" s="68" t="n">
        <v>0</v>
      </c>
      <c r="F30" s="68">
        <f>ROUND(C30+D30-E30,2)</f>
        <v>18.73</v>
      </c>
      <c r="G30" s="45" t="n">
        <v>179800</v>
      </c>
      <c r="H30" s="69">
        <f>ROUND(G30/2080,4)</f>
        <v>86.4423</v>
      </c>
      <c r="I30" s="53">
        <f>ROUND(F30*H30,2)</f>
        <v>1619.06</v>
      </c>
    </row>
    <row r="31">
      <c r="A31" s="64" t="inlineStr">
        <is>
          <t>TRT-0069</t>
        </is>
      </c>
      <c r="B31" s="42" t="inlineStr">
        <is>
          <t>Xiomara Bekele</t>
        </is>
      </c>
      <c r="C31" s="65" t="n">
        <v>27.75</v>
      </c>
      <c r="D31" s="65" t="n">
        <v>9.2308</v>
      </c>
      <c r="E31" s="65" t="n">
        <v>0</v>
      </c>
      <c r="F31" s="65">
        <f>ROUND(C31+D31-E31,2)</f>
        <v>36.98</v>
      </c>
      <c r="G31" s="43" t="n">
        <v>99300</v>
      </c>
      <c r="H31" s="66">
        <f>ROUND(G31/2080,4)</f>
        <v>47.7404</v>
      </c>
      <c r="I31" s="52">
        <f>ROUND(F31*H31,2)</f>
        <v>1765.44</v>
      </c>
    </row>
    <row r="32">
      <c r="A32" s="67" t="inlineStr">
        <is>
          <t>TRT-0071</t>
        </is>
      </c>
      <c r="B32" s="44" t="inlineStr">
        <is>
          <t>Samuel Burkenham</t>
        </is>
      </c>
      <c r="C32" s="68" t="n">
        <v>27.25</v>
      </c>
      <c r="D32" s="68" t="n">
        <v>6.1538</v>
      </c>
      <c r="E32" s="68" t="n">
        <v>0</v>
      </c>
      <c r="F32" s="68">
        <f>ROUND(C32+D32-E32,2)</f>
        <v>33.4</v>
      </c>
      <c r="G32" s="45" t="n">
        <v>81000</v>
      </c>
      <c r="H32" s="69">
        <f>ROUND(G32/2080,4)</f>
        <v>38.9423</v>
      </c>
      <c r="I32" s="53">
        <f>ROUND(F32*H32,2)</f>
        <v>1300.67</v>
      </c>
    </row>
    <row r="33">
      <c r="A33" s="64" t="inlineStr">
        <is>
          <t>TRT-0074</t>
        </is>
      </c>
      <c r="B33" s="42" t="inlineStr">
        <is>
          <t>Cassius Oyelowo</t>
        </is>
      </c>
      <c r="C33" s="65" t="n">
        <v>25.75</v>
      </c>
      <c r="D33" s="65" t="n">
        <v>9.2308</v>
      </c>
      <c r="E33" s="65" t="n">
        <v>0</v>
      </c>
      <c r="F33" s="65">
        <f>ROUND(C33+D33-E33,2)</f>
        <v>34.98</v>
      </c>
      <c r="G33" s="43" t="n">
        <v>111800</v>
      </c>
      <c r="H33" s="66">
        <f>ROUND(G33/2080,4)</f>
        <v>53.75</v>
      </c>
      <c r="I33" s="52">
        <f>ROUND(F33*H33,2)</f>
        <v>1880.18</v>
      </c>
    </row>
    <row r="34">
      <c r="A34" s="67" t="inlineStr">
        <is>
          <t>TRT-0076</t>
        </is>
      </c>
      <c r="B34" s="44" t="inlineStr">
        <is>
          <t>Nikolai Oyeleke</t>
        </is>
      </c>
      <c r="C34" s="68" t="n">
        <v>24.75</v>
      </c>
      <c r="D34" s="68" t="n">
        <v>9.2308</v>
      </c>
      <c r="E34" s="68" t="n">
        <v>8</v>
      </c>
      <c r="F34" s="68">
        <f>ROUND(C34+D34-E34,2)</f>
        <v>25.98</v>
      </c>
      <c r="G34" s="45" t="n">
        <v>151900</v>
      </c>
      <c r="H34" s="69">
        <f>ROUND(G34/2080,4)</f>
        <v>73.0288</v>
      </c>
      <c r="I34" s="53">
        <f>ROUND(F34*H34,2)</f>
        <v>1897.29</v>
      </c>
    </row>
    <row r="35">
      <c r="A35" s="64" t="inlineStr">
        <is>
          <t>TRT-0079</t>
        </is>
      </c>
      <c r="B35" s="42" t="inlineStr">
        <is>
          <t>Wren Takahashi-Bell</t>
        </is>
      </c>
      <c r="C35" s="65" t="n">
        <v>6.5</v>
      </c>
      <c r="D35" s="65" t="n">
        <v>6.1538</v>
      </c>
      <c r="E35" s="65" t="n">
        <v>0</v>
      </c>
      <c r="F35" s="65">
        <f>ROUND(C35+D35-E35,2)</f>
        <v>12.65</v>
      </c>
      <c r="G35" s="43" t="n">
        <v>119600</v>
      </c>
      <c r="H35" s="66">
        <f>ROUND(G35/2080,4)</f>
        <v>57.5</v>
      </c>
      <c r="I35" s="52">
        <f>ROUND(F35*H35,2)</f>
        <v>727.38</v>
      </c>
    </row>
    <row r="36">
      <c r="A36" s="67" t="inlineStr">
        <is>
          <t>TRT-0083</t>
        </is>
      </c>
      <c r="B36" s="44" t="inlineStr">
        <is>
          <t>Desmond Achterberg</t>
        </is>
      </c>
      <c r="C36" s="68" t="n">
        <v>32.25</v>
      </c>
      <c r="D36" s="68" t="n">
        <v>6.1538</v>
      </c>
      <c r="E36" s="68" t="n">
        <v>32</v>
      </c>
      <c r="F36" s="68">
        <f>ROUND(C36+D36-E36,2)</f>
        <v>6.4</v>
      </c>
      <c r="G36" s="45" t="n">
        <v>93100</v>
      </c>
      <c r="H36" s="69">
        <f>ROUND(G36/2080,4)</f>
        <v>44.7596</v>
      </c>
      <c r="I36" s="53">
        <f>ROUND(F36*H36,2)</f>
        <v>286.46</v>
      </c>
    </row>
    <row r="37">
      <c r="A37" s="64" t="inlineStr">
        <is>
          <t>TRT-0086</t>
        </is>
      </c>
      <c r="B37" s="42" t="inlineStr">
        <is>
          <t>Rosalind Munro</t>
        </is>
      </c>
      <c r="C37" s="65" t="n">
        <v>33.5</v>
      </c>
      <c r="D37" s="65" t="n">
        <v>9.2308</v>
      </c>
      <c r="E37" s="65" t="n">
        <v>0</v>
      </c>
      <c r="F37" s="65">
        <f>ROUND(C37+D37-E37,2)</f>
        <v>42.73</v>
      </c>
      <c r="G37" s="43" t="n">
        <v>63750</v>
      </c>
      <c r="H37" s="66">
        <f>ROUND(G37/2080,4)</f>
        <v>30.649</v>
      </c>
      <c r="I37" s="52">
        <f>ROUND(F37*H37,2)</f>
        <v>1309.63</v>
      </c>
    </row>
    <row r="38">
      <c r="A38" s="67" t="inlineStr">
        <is>
          <t>TRT-0088</t>
        </is>
      </c>
      <c r="B38" s="44" t="inlineStr">
        <is>
          <t>Yolanda Featherstone</t>
        </is>
      </c>
      <c r="C38" s="68" t="n">
        <v>34.75</v>
      </c>
      <c r="D38" s="68" t="n">
        <v>9.2308</v>
      </c>
      <c r="E38" s="68" t="n">
        <v>40</v>
      </c>
      <c r="F38" s="68">
        <f>ROUND(C38+D38-E38,2)</f>
        <v>3.98</v>
      </c>
      <c r="G38" s="45" t="n">
        <v>104000</v>
      </c>
      <c r="H38" s="69">
        <f>ROUND(G38/2080,4)</f>
        <v>50</v>
      </c>
      <c r="I38" s="53">
        <f>ROUND(F38*H38,2)</f>
        <v>199</v>
      </c>
    </row>
    <row r="39">
      <c r="A39" s="64" t="inlineStr">
        <is>
          <t>TRT-0091</t>
        </is>
      </c>
      <c r="B39" s="42" t="inlineStr">
        <is>
          <t>Beatrix Nakagawa</t>
        </is>
      </c>
      <c r="C39" s="65" t="n">
        <v>7.25</v>
      </c>
      <c r="D39" s="65" t="n">
        <v>9.2308</v>
      </c>
      <c r="E39" s="65" t="n">
        <v>0</v>
      </c>
      <c r="F39" s="65">
        <f>ROUND(C39+D39-E39,2)</f>
        <v>16.48</v>
      </c>
      <c r="G39" s="43" t="n">
        <v>144500</v>
      </c>
      <c r="H39" s="66">
        <f>ROUND(G39/2080,4)</f>
        <v>69.4712</v>
      </c>
      <c r="I39" s="52">
        <f>ROUND(F39*H39,2)</f>
        <v>1144.89</v>
      </c>
    </row>
    <row r="40">
      <c r="A40" s="67" t="inlineStr">
        <is>
          <t>TRT-0093</t>
        </is>
      </c>
      <c r="B40" s="44" t="inlineStr">
        <is>
          <t>Caspian Nwachukwu</t>
        </is>
      </c>
      <c r="C40" s="68" t="n">
        <v>33.75</v>
      </c>
      <c r="D40" s="68" t="n">
        <v>9.2308</v>
      </c>
      <c r="E40" s="68" t="n">
        <v>32</v>
      </c>
      <c r="F40" s="68">
        <f>ROUND(C40+D40-E40,2)</f>
        <v>10.98</v>
      </c>
      <c r="G40" s="45" t="n">
        <v>109300</v>
      </c>
      <c r="H40" s="69">
        <f>ROUND(G40/2080,4)</f>
        <v>52.5481</v>
      </c>
      <c r="I40" s="53">
        <f>ROUND(F40*H40,2)</f>
        <v>576.98</v>
      </c>
    </row>
    <row r="41">
      <c r="A41" s="64" t="inlineStr">
        <is>
          <t>TRT-0096</t>
        </is>
      </c>
      <c r="B41" s="42" t="inlineStr">
        <is>
          <t>Delphine Marchetti</t>
        </is>
      </c>
      <c r="C41" s="65" t="n">
        <v>24.25</v>
      </c>
      <c r="D41" s="65" t="n">
        <v>6.1538</v>
      </c>
      <c r="E41" s="65" t="n">
        <v>16</v>
      </c>
      <c r="F41" s="65">
        <f>ROUND(C41+D41-E41,2)</f>
        <v>14.4</v>
      </c>
      <c r="G41" s="43" t="n">
        <v>58000</v>
      </c>
      <c r="H41" s="66">
        <f>ROUND(G41/2080,4)</f>
        <v>27.8846</v>
      </c>
      <c r="I41" s="52">
        <f>ROUND(F41*H41,2)</f>
        <v>401.54</v>
      </c>
    </row>
    <row r="42">
      <c r="A42" s="67" t="inlineStr">
        <is>
          <t>TRT-0099</t>
        </is>
      </c>
      <c r="B42" s="44" t="inlineStr">
        <is>
          <t>Leopold Anyanwu</t>
        </is>
      </c>
      <c r="C42" s="68" t="n">
        <v>24.75</v>
      </c>
      <c r="D42" s="68" t="n">
        <v>6.1538</v>
      </c>
      <c r="E42" s="68" t="n">
        <v>0</v>
      </c>
      <c r="F42" s="68">
        <f>ROUND(C42+D42-E42,2)</f>
        <v>30.9</v>
      </c>
      <c r="G42" s="45" t="n">
        <v>77650</v>
      </c>
      <c r="H42" s="69">
        <f>ROUND(G42/2080,4)</f>
        <v>37.3317</v>
      </c>
      <c r="I42" s="53">
        <f>ROUND(F42*H42,2)</f>
        <v>1153.55</v>
      </c>
    </row>
    <row r="43">
      <c r="A43" s="64" t="inlineStr">
        <is>
          <t>TRT-0102</t>
        </is>
      </c>
      <c r="B43" s="42" t="inlineStr">
        <is>
          <t>Lucía Ferrante</t>
        </is>
      </c>
      <c r="C43" s="65" t="n">
        <v>12</v>
      </c>
      <c r="D43" s="65" t="n">
        <v>6.1538</v>
      </c>
      <c r="E43" s="65" t="n">
        <v>0</v>
      </c>
      <c r="F43" s="65">
        <f>ROUND(C43+D43-E43,2)</f>
        <v>18.15</v>
      </c>
      <c r="G43" s="43" t="n">
        <v>108900</v>
      </c>
      <c r="H43" s="66">
        <f>ROUND(G43/2080,4)</f>
        <v>52.3558</v>
      </c>
      <c r="I43" s="52">
        <f>ROUND(F43*H43,2)</f>
        <v>950.26</v>
      </c>
    </row>
    <row r="44">
      <c r="A44" s="67" t="inlineStr">
        <is>
          <t>TRT-0105</t>
        </is>
      </c>
      <c r="B44" s="44" t="inlineStr">
        <is>
          <t>Olamide Fitzwilliam</t>
        </is>
      </c>
      <c r="C44" s="68" t="n">
        <v>27.5</v>
      </c>
      <c r="D44" s="68" t="n">
        <v>6.1538</v>
      </c>
      <c r="E44" s="68" t="n">
        <v>24</v>
      </c>
      <c r="F44" s="68">
        <f>ROUND(C44+D44-E44,2)</f>
        <v>9.65</v>
      </c>
      <c r="G44" s="45" t="n">
        <v>109200</v>
      </c>
      <c r="H44" s="69">
        <f>ROUND(G44/2080,4)</f>
        <v>52.5</v>
      </c>
      <c r="I44" s="53">
        <f>ROUND(F44*H44,2)</f>
        <v>506.63</v>
      </c>
    </row>
    <row r="45">
      <c r="A45" s="64" t="inlineStr">
        <is>
          <t>TRT-0108</t>
        </is>
      </c>
      <c r="B45" s="42" t="inlineStr">
        <is>
          <t>Gideon Marlowe</t>
        </is>
      </c>
      <c r="C45" s="65" t="n">
        <v>37</v>
      </c>
      <c r="D45" s="65" t="n">
        <v>6.1538</v>
      </c>
      <c r="E45" s="65" t="n">
        <v>8</v>
      </c>
      <c r="F45" s="65">
        <f>ROUND(C45+D45-E45,2)</f>
        <v>35.15</v>
      </c>
      <c r="G45" s="43" t="n">
        <v>95850</v>
      </c>
      <c r="H45" s="66">
        <f>ROUND(G45/2080,4)</f>
        <v>46.0817</v>
      </c>
      <c r="I45" s="52">
        <f>ROUND(F45*H45,2)</f>
        <v>1619.77</v>
      </c>
    </row>
    <row r="46">
      <c r="A46" s="67" t="inlineStr">
        <is>
          <t>TRT-0110</t>
        </is>
      </c>
      <c r="B46" s="44" t="inlineStr">
        <is>
          <t>Bartholomew Oduya</t>
        </is>
      </c>
      <c r="C46" s="68" t="n">
        <v>11.5</v>
      </c>
      <c r="D46" s="68" t="n">
        <v>6.1538</v>
      </c>
      <c r="E46" s="68" t="n">
        <v>0</v>
      </c>
      <c r="F46" s="68">
        <f>ROUND(C46+D46-E46,2)</f>
        <v>17.65</v>
      </c>
      <c r="G46" s="45" t="n">
        <v>91200</v>
      </c>
      <c r="H46" s="69">
        <f>ROUND(G46/2080,4)</f>
        <v>43.8462</v>
      </c>
      <c r="I46" s="53">
        <f>ROUND(F46*H46,2)</f>
        <v>773.89</v>
      </c>
    </row>
    <row r="47">
      <c r="A47" s="64" t="inlineStr">
        <is>
          <t>TRT-0113</t>
        </is>
      </c>
      <c r="B47" s="42" t="inlineStr">
        <is>
          <t>Winnie Barslanian</t>
        </is>
      </c>
      <c r="C47" s="65" t="n">
        <v>14.25</v>
      </c>
      <c r="D47" s="65" t="n">
        <v>6.1538</v>
      </c>
      <c r="E47" s="65" t="n">
        <v>0</v>
      </c>
      <c r="F47" s="65">
        <f>ROUND(C47+D47-E47,2)</f>
        <v>20.4</v>
      </c>
      <c r="G47" s="43" t="n">
        <v>61900</v>
      </c>
      <c r="H47" s="66">
        <f>ROUND(G47/2080,4)</f>
        <v>29.7596</v>
      </c>
      <c r="I47" s="52">
        <f>ROUND(F47*H47,2)</f>
        <v>607.1</v>
      </c>
    </row>
    <row r="48">
      <c r="A48" s="67" t="inlineStr">
        <is>
          <t>TRT-0117</t>
        </is>
      </c>
      <c r="B48" s="44" t="inlineStr">
        <is>
          <t>Belaviv Luk</t>
        </is>
      </c>
      <c r="C48" s="68" t="n">
        <v>22</v>
      </c>
      <c r="D48" s="68" t="n">
        <v>9.2308</v>
      </c>
      <c r="E48" s="68" t="n">
        <v>32</v>
      </c>
      <c r="F48" s="68">
        <f>ROUND(C48+D48-E48,2)</f>
        <v>-0.77</v>
      </c>
      <c r="G48" s="45" t="n">
        <v>138000</v>
      </c>
      <c r="H48" s="69">
        <f>ROUND(G48/2080,4)</f>
        <v>66.3462</v>
      </c>
      <c r="I48" s="53">
        <f>ROUND(F48*H48,2)</f>
        <v>-51.09</v>
      </c>
    </row>
    <row r="49">
      <c r="A49" s="64" t="inlineStr">
        <is>
          <t>TRT-0119</t>
        </is>
      </c>
      <c r="B49" s="42" t="inlineStr">
        <is>
          <t>Hectori Bung</t>
        </is>
      </c>
      <c r="C49" s="65" t="n">
        <v>17.75</v>
      </c>
      <c r="D49" s="65" t="n">
        <v>6.1538</v>
      </c>
      <c r="E49" s="65" t="n">
        <v>8</v>
      </c>
      <c r="F49" s="65">
        <f>ROUND(C49+D49-E49,2)</f>
        <v>15.9</v>
      </c>
      <c r="G49" s="43" t="n">
        <v>134000</v>
      </c>
      <c r="H49" s="66">
        <f>ROUND(G49/2080,4)</f>
        <v>64.4231</v>
      </c>
      <c r="I49" s="52">
        <f>ROUND(F49*H49,2)</f>
        <v>1024.33</v>
      </c>
    </row>
    <row r="50">
      <c r="A50" s="67" t="inlineStr">
        <is>
          <t>TRT-0122</t>
        </is>
      </c>
      <c r="B50" s="44" t="inlineStr">
        <is>
          <t>Amara Osei-Tutu</t>
        </is>
      </c>
      <c r="C50" s="68" t="n">
        <v>19</v>
      </c>
      <c r="D50" s="68" t="n">
        <v>6.1538</v>
      </c>
      <c r="E50" s="68" t="n">
        <v>0</v>
      </c>
      <c r="F50" s="68">
        <f>ROUND(C50+D50-E50,2)</f>
        <v>25.15</v>
      </c>
      <c r="G50" s="45" t="n">
        <v>125600</v>
      </c>
      <c r="H50" s="69">
        <f>ROUND(G50/2080,4)</f>
        <v>60.3846</v>
      </c>
      <c r="I50" s="53">
        <f>ROUND(F50*H50,2)</f>
        <v>1518.67</v>
      </c>
    </row>
    <row r="51">
      <c r="A51" s="64" t="inlineStr">
        <is>
          <t>TRT-0128</t>
        </is>
      </c>
      <c r="B51" s="42" t="inlineStr">
        <is>
          <t>Beenan Lanik</t>
        </is>
      </c>
      <c r="C51" s="65" t="n">
        <v>7.75</v>
      </c>
      <c r="D51" s="65" t="n">
        <v>6.1538</v>
      </c>
      <c r="E51" s="65" t="n">
        <v>0</v>
      </c>
      <c r="F51" s="65">
        <f>ROUND(C51+D51-E51,2)</f>
        <v>13.9</v>
      </c>
      <c r="G51" s="43" t="n">
        <v>129750</v>
      </c>
      <c r="H51" s="66">
        <f>ROUND(G51/2080,4)</f>
        <v>62.3798</v>
      </c>
      <c r="I51" s="52">
        <f>ROUND(F51*H51,2)</f>
        <v>867.08</v>
      </c>
    </row>
    <row r="52">
      <c r="A52" s="67" t="inlineStr">
        <is>
          <t>TRT-0131</t>
        </is>
      </c>
      <c r="B52" s="44" t="inlineStr">
        <is>
          <t>Aurelio Banda</t>
        </is>
      </c>
      <c r="C52" s="68" t="n">
        <v>32</v>
      </c>
      <c r="D52" s="68" t="n">
        <v>6.1538</v>
      </c>
      <c r="E52" s="68" t="n">
        <v>40</v>
      </c>
      <c r="F52" s="68">
        <f>ROUND(C52+D52-E52,2)</f>
        <v>-1.85</v>
      </c>
      <c r="G52" s="45" t="n">
        <v>76850</v>
      </c>
      <c r="H52" s="69">
        <f>ROUND(G52/2080,4)</f>
        <v>36.9471</v>
      </c>
      <c r="I52" s="53">
        <f>ROUND(F52*H52,2)</f>
        <v>-68.35</v>
      </c>
    </row>
    <row r="53">
      <c r="A53" s="64" t="inlineStr">
        <is>
          <t>TRT-0135</t>
        </is>
      </c>
      <c r="B53" s="42" t="inlineStr">
        <is>
          <t>Solveig Okonjo</t>
        </is>
      </c>
      <c r="C53" s="65" t="n">
        <v>37</v>
      </c>
      <c r="D53" s="65" t="n">
        <v>6.1538</v>
      </c>
      <c r="E53" s="65" t="n">
        <v>0</v>
      </c>
      <c r="F53" s="65">
        <f>ROUND(C53+D53-E53,2)</f>
        <v>43.15</v>
      </c>
      <c r="G53" s="43" t="n">
        <v>94600</v>
      </c>
      <c r="H53" s="66">
        <f>ROUND(G53/2080,4)</f>
        <v>45.4808</v>
      </c>
      <c r="I53" s="52">
        <f>ROUND(F53*H53,2)</f>
        <v>1962.5</v>
      </c>
    </row>
    <row r="54">
      <c r="A54" s="67" t="inlineStr">
        <is>
          <t>TRT-0141</t>
        </is>
      </c>
      <c r="B54" s="44" t="inlineStr">
        <is>
          <t>Beatriz Quintanilla</t>
        </is>
      </c>
      <c r="C54" s="68" t="n">
        <v>20.75</v>
      </c>
      <c r="D54" s="68" t="n">
        <v>6.1538</v>
      </c>
      <c r="E54" s="68" t="n">
        <v>0</v>
      </c>
      <c r="F54" s="68">
        <f>ROUND(C54+D54-E54,2)</f>
        <v>26.9</v>
      </c>
      <c r="G54" s="45" t="n">
        <v>47840</v>
      </c>
      <c r="H54" s="69">
        <f>ROUND(G54/2080,4)</f>
        <v>23</v>
      </c>
      <c r="I54" s="53">
        <f>ROUND(F54*H54,2)</f>
        <v>618.7</v>
      </c>
    </row>
    <row r="55">
      <c r="A55" s="64" t="inlineStr">
        <is>
          <t>TRT-0150</t>
        </is>
      </c>
      <c r="B55" s="42" t="inlineStr">
        <is>
          <t>Ingra Zolberg</t>
        </is>
      </c>
      <c r="C55" s="65" t="n">
        <v>0</v>
      </c>
      <c r="D55" s="65" t="n">
        <v>6.1538</v>
      </c>
      <c r="E55" s="65" t="n">
        <v>0</v>
      </c>
      <c r="F55" s="65">
        <f>ROUND(C55+D55-E55,2)</f>
        <v>6.15</v>
      </c>
      <c r="G55" s="43" t="n">
        <v>62450</v>
      </c>
      <c r="H55" s="66">
        <f>ROUND(G55/2080,4)</f>
        <v>30.024</v>
      </c>
      <c r="I55" s="52">
        <f>ROUND(F55*H55,2)</f>
        <v>184.65</v>
      </c>
    </row>
    <row r="56" ht="24" customHeight="1">
      <c r="A56" s="83" t="inlineStr">
        <is>
          <t>BOOKED LIABILITY</t>
        </is>
      </c>
      <c r="B56" s="79" t="n"/>
      <c r="C56" s="79" t="n"/>
      <c r="D56" s="79" t="n"/>
      <c r="E56" s="79" t="n"/>
      <c r="F56" s="79" t="n"/>
      <c r="G56" s="79" t="n"/>
      <c r="H56" s="79" t="n"/>
      <c r="I56" s="72">
        <f>SUM(I5:I55)</f>
        <v>90862.13</v>
      </c>
    </row>
    <row r="57" ht="8" customHeight="1"/>
    <row r="58" ht="22" customHeight="1">
      <c r="A58" s="84" t="inlineStr">
        <is>
          <t>GL 2140 accrued PTO ending balance (tie to Balance Sheet):</t>
        </is>
      </c>
      <c r="B58" s="80" t="n"/>
      <c r="C58" s="80" t="n"/>
      <c r="D58" s="80" t="n"/>
      <c r="E58" s="80" t="n"/>
      <c r="F58" s="80" t="n"/>
      <c r="G58" s="80" t="n"/>
      <c r="H58" s="80" t="n"/>
      <c r="I58" s="75">
        <f>I56</f>
        <v>90862.13</v>
      </c>
    </row>
    <row r="59" ht="20" customHeight="1">
      <c r="A59" s="47" t="inlineStr">
        <is>
          <t>Note:</t>
        </is>
      </c>
      <c r="B59" s="76" t="inlineStr">
        <is>
          <t>Balances confirmed with People Ops 07/31/2026. Total = 90862.13</t>
        </is>
      </c>
    </row>
  </sheetData>
  <mergeCells count="3">
    <mergeCell ref="A56:H56"/>
    <mergeCell ref="A58:H58"/>
    <mergeCell ref="A2:I2"/>
  </mergeCells>
  <pageMargins left="0.7" right="0.7" top="0.8" bottom="0.8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2026-08-04T00:00:00Z</dcterms:created>
  <dcterms:modified xmlns:dcterms="http://purl.org/dc/terms/" xmlns:xsi="http://www.w3.org/2001/XMLSchema-instance" xsi:type="dcterms:W3CDTF">2026-08-04T00:00:00Z</dcterms:modified>
  <dc:creator xmlns:dc="http://purl.org/dc/elements/1.1/">Krystale Jumawan</dc:creator>
  <cp:lastModifiedBy>Krystale Jumawan</cp:lastModifiedBy>
</cp:coreProperties>
</file>