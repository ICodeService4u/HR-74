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ingPlan2026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10">
    <font>
      <name val="Segoe UI"/>
      <family val="2"/>
      <color theme="1"/>
      <sz val="11"/>
      <scheme val="minor"/>
    </font>
    <font>
      <name val="Segoe UI Semibold"/>
      <b val="1"/>
      <color rgb="FFFFFFFF"/>
      <sz val="22"/>
    </font>
    <font>
      <name val="Segoe UI Semibold"/>
      <b val="1"/>
      <color rgb="FF0F4C5C"/>
      <sz val="10"/>
    </font>
    <font>
      <name val="Segoe UI"/>
      <color rgb="FF333333"/>
      <sz val="10"/>
    </font>
    <font>
      <name val="Segoe UI Semibold"/>
      <b val="1"/>
      <color rgb="FFFFFFFF"/>
      <sz val="11"/>
    </font>
    <font>
      <name val="Segoe UI"/>
      <color rgb="FF1A1A2E"/>
      <sz val="11"/>
    </font>
    <font>
      <name val="Segoe UI Semibold"/>
      <b val="1"/>
      <color rgb="FF1A1A2E"/>
      <sz val="11"/>
    </font>
    <font>
      <name val="Segoe UI Semibold"/>
      <b val="1"/>
      <color rgb="FFFFFFFF"/>
      <sz val="13"/>
    </font>
    <font>
      <name val="Segoe UI Semibold"/>
      <b val="1"/>
      <color rgb="FF00838F"/>
      <sz val="10"/>
    </font>
    <font>
      <name val="Segoe UI"/>
      <i val="1"/>
      <color rgb="FF4A4A4A"/>
      <sz val="10"/>
    </font>
  </fonts>
  <fills count="5">
    <fill>
      <patternFill/>
    </fill>
    <fill>
      <patternFill patternType="gray125"/>
    </fill>
    <fill>
      <patternFill patternType="solid">
        <fgColor rgb="FF0F1419"/>
      </patternFill>
    </fill>
    <fill>
      <patternFill patternType="solid">
        <fgColor rgb="FF1F2A44"/>
      </patternFill>
    </fill>
    <fill>
      <patternFill patternType="solid">
        <fgColor rgb="FFF2F4F7"/>
      </patternFill>
    </fill>
  </fills>
  <borders count="7">
    <border>
      <left/>
      <right/>
      <top/>
      <bottom/>
      <diagonal/>
    </border>
    <border>
      <left style="thin">
        <color rgb="FFE2E5EA"/>
      </left>
      <right style="thin">
        <color rgb="FFE2E5EA"/>
      </right>
      <top style="thin">
        <color rgb="FFE2E5EA"/>
      </top>
      <bottom style="thin">
        <color rgb="FFE2E5EA"/>
      </bottom>
    </border>
    <border>
      <left/>
      <right/>
      <top style="medium">
        <color rgb="FF0F1419"/>
      </top>
      <bottom style="medium">
        <color rgb="FF0F1419"/>
      </bottom>
    </border>
    <border>
      <left/>
      <right/>
      <top style="thin">
        <color rgb="FFE2E5EA"/>
      </top>
      <bottom/>
      <diagonal/>
    </border>
    <border>
      <left/>
      <right style="thin">
        <color rgb="FFE2E5EA"/>
      </right>
      <top style="thin">
        <color rgb="FFE2E5EA"/>
      </top>
      <bottom/>
      <diagonal/>
    </border>
    <border>
      <left/>
      <right/>
      <top style="thin">
        <color rgb="FFE2E5EA"/>
      </top>
      <bottom style="thin">
        <color rgb="FFE2E5EA"/>
      </bottom>
      <diagonal/>
    </border>
    <border>
      <left/>
      <right style="thin">
        <color rgb="FFE2E5EA"/>
      </right>
      <top style="thin">
        <color rgb="FFE2E5EA"/>
      </top>
      <bottom style="thin">
        <color rgb="FFE2E5EA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6" fillId="4" borderId="1" pivotButton="0" quotePrefix="0" xfId="0"/>
    <xf numFmtId="164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7" fillId="2" borderId="2" applyAlignment="1" pivotButton="0" quotePrefix="0" xfId="0">
      <alignment horizontal="left" vertical="center"/>
    </xf>
    <xf numFmtId="0" fontId="7" fillId="2" borderId="2" pivotButton="0" quotePrefix="0" xfId="0"/>
    <xf numFmtId="0" fontId="7" fillId="2" borderId="2" applyAlignment="1" pivotButton="0" quotePrefix="0" xfId="0">
      <alignment horizontal="center" vertical="center"/>
    </xf>
    <xf numFmtId="165" fontId="7" fillId="2" borderId="2" applyAlignment="1" pivotButton="0" quotePrefix="0" xfId="0">
      <alignment horizontal="right" vertical="center"/>
    </xf>
    <xf numFmtId="0" fontId="8" fillId="0" borderId="0" pivotButton="0" quotePrefix="0" xfId="0"/>
    <xf numFmtId="0" fontId="6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14" customWidth="1" min="4" max="4"/>
    <col width="18" customWidth="1" min="5" max="5"/>
    <col width="20" customWidth="1" min="6" max="6"/>
  </cols>
  <sheetData>
    <row r="1" ht="44" customHeight="1">
      <c r="A1" s="1" t="inlineStr">
        <is>
          <t>Hiring Plan 2026 FINAL</t>
        </is>
      </c>
    </row>
    <row r="3" ht="20" customHeight="1">
      <c r="A3" s="2" t="inlineStr">
        <is>
          <t>Sheet:</t>
        </is>
      </c>
      <c r="B3" s="3" t="inlineStr">
        <is>
          <t>HiringPlan2026_FINAL</t>
        </is>
      </c>
    </row>
    <row r="4" ht="20" customHeight="1">
      <c r="A4" s="2" t="inlineStr">
        <is>
          <t>Owner:</t>
        </is>
      </c>
      <c r="B4" s="3" t="inlineStr">
        <is>
          <t>Luka Odum, Talent Acquisition Specialist (luka@troutlyanalytics.com)</t>
        </is>
      </c>
    </row>
    <row r="5" ht="20" customHeight="1">
      <c r="A5" s="2" t="inlineStr">
        <is>
          <t>Co-owner:</t>
        </is>
      </c>
      <c r="B5" s="3" t="inlineStr">
        <is>
          <t>Michael Labeson, Chief Executive Officer (michael@troutlyanalytics.com)</t>
        </is>
      </c>
    </row>
    <row r="6" ht="20" customHeight="1">
      <c r="A6" s="2" t="inlineStr">
        <is>
          <t>Date last edited:</t>
        </is>
      </c>
      <c r="B6" s="3" t="inlineStr">
        <is>
          <t>June 2026</t>
        </is>
      </c>
    </row>
    <row r="7" ht="20" customHeight="1">
      <c r="A7" s="2" t="inlineStr">
        <is>
          <t>Currency:</t>
        </is>
      </c>
      <c r="B7" s="3" t="inlineStr">
        <is>
          <t>USD</t>
        </is>
      </c>
    </row>
    <row r="8" ht="20" customHeight="1">
      <c r="A8" s="2" t="inlineStr">
        <is>
          <t>Basis:</t>
        </is>
      </c>
      <c r="B8" s="3" t="inlineStr">
        <is>
          <t>2025 compensation bands (annualized)</t>
        </is>
      </c>
    </row>
    <row r="10" ht="34" customHeight="1">
      <c r="A10" s="4" t="inlineStr">
        <is>
          <t>Role</t>
        </is>
      </c>
      <c r="B10" s="4" t="inlineStr">
        <is>
          <t>TargetStartMonth</t>
        </is>
      </c>
      <c r="C10" s="4" t="inlineStr">
        <is>
          <t>Department</t>
        </is>
      </c>
      <c r="D10" s="4" t="inlineStr">
        <is>
          <t>Level</t>
        </is>
      </c>
      <c r="E10" s="4" t="inlineStr">
        <is>
          <t>BandMidpoint</t>
        </is>
      </c>
      <c r="F10" s="4" t="inlineStr">
        <is>
          <t>Budget</t>
        </is>
      </c>
    </row>
    <row r="11" ht="22" customHeight="1">
      <c r="A11" s="5" t="inlineStr">
        <is>
          <t>Senior Software Engineer</t>
        </is>
      </c>
      <c r="B11" s="6" t="inlineStr">
        <is>
          <t>July 2026</t>
        </is>
      </c>
      <c r="C11" s="5" t="inlineStr">
        <is>
          <t>Engineering</t>
        </is>
      </c>
      <c r="D11" s="6" t="inlineStr">
        <is>
          <t>IC4</t>
        </is>
      </c>
      <c r="E11" s="7" t="n">
        <v>144000</v>
      </c>
      <c r="F11" s="7">
        <f>E11</f>
        <v>144000</v>
      </c>
    </row>
    <row r="12" ht="22" customHeight="1">
      <c r="A12" s="5" t="inlineStr">
        <is>
          <t>Software Engineer II</t>
        </is>
      </c>
      <c r="B12" s="6" t="inlineStr">
        <is>
          <t>August 2026</t>
        </is>
      </c>
      <c r="C12" s="5" t="inlineStr">
        <is>
          <t>Engineering</t>
        </is>
      </c>
      <c r="D12" s="6" t="inlineStr">
        <is>
          <t>IC3</t>
        </is>
      </c>
      <c r="E12" s="7" t="n">
        <v>121000</v>
      </c>
      <c r="F12" s="7">
        <f>E12</f>
        <v>121000</v>
      </c>
    </row>
    <row r="13" ht="22" customHeight="1">
      <c r="A13" s="5" t="inlineStr">
        <is>
          <t>Account Executive</t>
        </is>
      </c>
      <c r="B13" s="6" t="inlineStr">
        <is>
          <t>July 2026</t>
        </is>
      </c>
      <c r="C13" s="5" t="inlineStr">
        <is>
          <t>Sales</t>
        </is>
      </c>
      <c r="D13" s="6" t="inlineStr">
        <is>
          <t>AE</t>
        </is>
      </c>
      <c r="E13" s="7" t="n">
        <v>92000</v>
      </c>
      <c r="F13" s="7">
        <f>E13</f>
        <v>92000</v>
      </c>
    </row>
    <row r="14" ht="22" customHeight="1">
      <c r="A14" s="5" t="inlineStr">
        <is>
          <t>Customer Success Manager</t>
        </is>
      </c>
      <c r="B14" s="6" t="inlineStr">
        <is>
          <t>August 2026</t>
        </is>
      </c>
      <c r="C14" s="5" t="inlineStr">
        <is>
          <t>Customer Success</t>
        </is>
      </c>
      <c r="D14" s="6" t="inlineStr">
        <is>
          <t>CSM I</t>
        </is>
      </c>
      <c r="E14" s="7" t="n">
        <v>90000</v>
      </c>
      <c r="F14" s="7">
        <f>E14</f>
        <v>90000</v>
      </c>
    </row>
    <row r="15" ht="22" customHeight="1">
      <c r="A15" s="5" t="inlineStr">
        <is>
          <t>Product Designer</t>
        </is>
      </c>
      <c r="B15" s="6" t="inlineStr">
        <is>
          <t>September 2026</t>
        </is>
      </c>
      <c r="C15" s="5" t="inlineStr">
        <is>
          <t>Product</t>
        </is>
      </c>
      <c r="D15" s="6" t="inlineStr">
        <is>
          <t>IC3</t>
        </is>
      </c>
      <c r="E15" s="7" t="n">
        <v>110000</v>
      </c>
      <c r="F15" s="7">
        <f>E15</f>
        <v>110000</v>
      </c>
    </row>
    <row r="16" ht="22" customHeight="1">
      <c r="A16" s="5" t="inlineStr">
        <is>
          <t>Marketing Manager</t>
        </is>
      </c>
      <c r="B16" s="6" t="inlineStr">
        <is>
          <t>September 2026</t>
        </is>
      </c>
      <c r="C16" s="5" t="inlineStr">
        <is>
          <t>Marketing</t>
        </is>
      </c>
      <c r="D16" s="6" t="inlineStr">
        <is>
          <t>IC3</t>
        </is>
      </c>
      <c r="E16" s="7" t="n">
        <v>82000</v>
      </c>
      <c r="F16" s="7">
        <f>E16</f>
        <v>82000</v>
      </c>
    </row>
    <row r="17" ht="22" customHeight="1">
      <c r="A17" s="5" t="inlineStr">
        <is>
          <t>Data Analyst II</t>
        </is>
      </c>
      <c r="B17" s="6" t="inlineStr">
        <is>
          <t>September 2026</t>
        </is>
      </c>
      <c r="C17" s="5" t="inlineStr">
        <is>
          <t>Product</t>
        </is>
      </c>
      <c r="D17" s="6" t="inlineStr">
        <is>
          <t>IC3</t>
        </is>
      </c>
      <c r="E17" s="7" t="n">
        <v>85000</v>
      </c>
      <c r="F17" s="7">
        <f>E17</f>
        <v>85000</v>
      </c>
    </row>
    <row r="18" ht="22" customHeight="1">
      <c r="A18" s="5" t="inlineStr">
        <is>
          <t>Account Executive</t>
        </is>
      </c>
      <c r="B18" s="6" t="inlineStr">
        <is>
          <t>October 2026</t>
        </is>
      </c>
      <c r="C18" s="5" t="inlineStr">
        <is>
          <t>Sales</t>
        </is>
      </c>
      <c r="D18" s="6" t="inlineStr">
        <is>
          <t>AE</t>
        </is>
      </c>
      <c r="E18" s="7" t="n">
        <v>92000</v>
      </c>
      <c r="F18" s="7">
        <f>E18</f>
        <v>92000</v>
      </c>
    </row>
    <row r="19" ht="24" customHeight="1">
      <c r="A19" s="8" t="inlineStr"/>
      <c r="B19" s="18" t="n"/>
      <c r="C19" s="19" t="n"/>
      <c r="D19" s="9" t="inlineStr">
        <is>
          <t>Subtotal (2025 midpoints)</t>
        </is>
      </c>
      <c r="E19" s="10">
        <f>SUM(E11:E18)</f>
        <v>816000.0</v>
      </c>
      <c r="F19" s="10">
        <f>SUM(F11:F18)</f>
        <v>816000.0</v>
      </c>
    </row>
    <row r="20" ht="24" customHeight="1">
      <c r="A20" s="8" t="inlineStr"/>
      <c r="B20" s="18" t="n"/>
      <c r="C20" s="19" t="n"/>
      <c r="D20" s="9" t="inlineStr">
        <is>
          <t>Recruiting reserve / sign-on pool</t>
        </is>
      </c>
      <c r="E20" s="8" t="inlineStr"/>
      <c r="F20" s="10" t="n">
        <v>52000</v>
      </c>
    </row>
    <row r="21" ht="30" customHeight="1">
      <c r="A21" s="11" t="inlineStr">
        <is>
          <t>TOTAL</t>
        </is>
      </c>
      <c r="B21" s="12" t="inlineStr"/>
      <c r="C21" s="12" t="inlineStr"/>
      <c r="D21" s="13" t="inlineStr">
        <is>
          <t>8 roles</t>
        </is>
      </c>
      <c r="E21" s="12" t="inlineStr">
        <is>
          <t>8 roles + reserve</t>
        </is>
      </c>
      <c r="F21" s="14" t="inlineStr">
        <is>
          <t>868000</t>
        </is>
      </c>
    </row>
    <row r="23" ht="22" customHeight="1">
      <c r="A23" s="15" t="inlineStr">
        <is>
          <t>Board approved 06/20/2026</t>
        </is>
      </c>
    </row>
    <row r="25" ht="22" customHeight="1">
      <c r="A25" s="16" t="inlineStr">
        <is>
          <t>Prep notes (Luka):</t>
        </is>
      </c>
    </row>
    <row r="26" ht="20" customHeight="1">
      <c r="A26" s="17" t="inlineStr">
        <is>
          <t>• Roles listed in intended posting order by TargetStartMonth.</t>
        </is>
      </c>
    </row>
    <row r="27" ht="20" customHeight="1">
      <c r="A27" s="17" t="inlineStr">
        <is>
          <t>• Levels per current leveling guide (IC3 / IC4 / AE / CSM I).</t>
        </is>
      </c>
    </row>
    <row r="28" ht="20" customHeight="1">
      <c r="A28" s="17" t="inlineStr">
        <is>
          <t>• BandMidpoint sourced from 2025 Compensation Bands.</t>
        </is>
      </c>
    </row>
    <row r="29" ht="20" customHeight="1">
      <c r="A29" s="17" t="inlineStr">
        <is>
          <t>• Budget = annualized midpoint, plus a single line for the recruiting reserve covering sign-on bonuses and any offer stretch above midpoint required to close.</t>
        </is>
      </c>
    </row>
    <row r="30" ht="20" customHeight="1">
      <c r="A30" s="17" t="inlineStr">
        <is>
          <t>• Reqs to be opened in Greenhouse for each role once the plan is confirmed.</t>
        </is>
      </c>
    </row>
    <row r="31" ht="20" customHeight="1">
      <c r="A31" s="17" t="inlineStr">
        <is>
          <t>• Backfill for the 06/15/2026 Customer Success departure captured in the July starter (CSM I row).</t>
        </is>
      </c>
    </row>
    <row r="32" ht="20" customHeight="1">
      <c r="A32" s="17" t="inlineStr">
        <is>
          <t>• Second Account Executive added for pipeline coverage in Q4; Michael to confirm territory.</t>
        </is>
      </c>
    </row>
  </sheetData>
  <mergeCells count="18">
    <mergeCell ref="B4:F4"/>
    <mergeCell ref="A19:C19"/>
    <mergeCell ref="B7:F7"/>
    <mergeCell ref="A28:F28"/>
    <mergeCell ref="B6:F6"/>
    <mergeCell ref="A1:F1"/>
    <mergeCell ref="A23:F23"/>
    <mergeCell ref="B3:F3"/>
    <mergeCell ref="B5:F5"/>
    <mergeCell ref="A27:F27"/>
    <mergeCell ref="A31:F31"/>
    <mergeCell ref="A32:F32"/>
    <mergeCell ref="B8:F8"/>
    <mergeCell ref="A26:F26"/>
    <mergeCell ref="A30:F30"/>
    <mergeCell ref="A20:C20"/>
    <mergeCell ref="A29:F2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2026-06-22T00:00:00Z</dcterms:created>
  <dcterms:modified xmlns:dcterms="http://purl.org/dc/terms/" xmlns:xsi="http://www.w3.org/2001/XMLSchema-instance" xsi:type="dcterms:W3CDTF">2026-09-17T06:52:15Z</dcterms:modified>
  <dc:creator xmlns:dc="http://purl.org/dc/elements/1.1/">Michael Labeson</dc:creator>
  <cp:lastModifiedBy>Michael Labeson</cp:lastModifiedBy>
</cp:coreProperties>
</file>